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urgery手術數" sheetId="1" r:id="rId1"/>
    <sheet name="Patient病人數" sheetId="4" r:id="rId2"/>
  </sheets>
  <externalReferences>
    <externalReference r:id="rId3"/>
  </externalReferences>
  <calcPr calcId="145621"/>
</workbook>
</file>

<file path=xl/calcChain.xml><?xml version="1.0" encoding="utf-8"?>
<calcChain xmlns="http://schemas.openxmlformats.org/spreadsheetml/2006/main">
  <c r="E7" i="4" l="1"/>
  <c r="E8" i="4"/>
  <c r="E9" i="4"/>
  <c r="E10" i="4"/>
  <c r="E11" i="4"/>
  <c r="E12" i="4"/>
  <c r="E13" i="4"/>
  <c r="E14" i="4"/>
  <c r="E16" i="4"/>
  <c r="E17" i="4"/>
  <c r="E18" i="4"/>
  <c r="E19" i="4"/>
  <c r="E20" i="4"/>
  <c r="E21" i="4"/>
  <c r="E22" i="4"/>
  <c r="E23" i="4"/>
  <c r="E6" i="4"/>
</calcChain>
</file>

<file path=xl/sharedStrings.xml><?xml version="1.0" encoding="utf-8"?>
<sst xmlns="http://schemas.openxmlformats.org/spreadsheetml/2006/main" count="314" uniqueCount="64">
  <si>
    <t>Histopathology</t>
  </si>
  <si>
    <t>Diffuse Astrocytic and Oligodendroglial Tumors</t>
  </si>
  <si>
    <t>Diffuse glioma, low-grade</t>
  </si>
  <si>
    <t>Diffuse glioma, grade 3</t>
  </si>
  <si>
    <t>Diffuse glioma, grade 4</t>
  </si>
  <si>
    <t>Other astrocytic glioma</t>
  </si>
  <si>
    <t>Ependymal tumors</t>
  </si>
  <si>
    <t>Neuronal and mixed neuronal-glial tumors</t>
  </si>
  <si>
    <t>Embryonal tumors</t>
  </si>
  <si>
    <t>Germ cell tumors</t>
  </si>
  <si>
    <t>Lymphoma</t>
  </si>
  <si>
    <t>Meningioma</t>
  </si>
  <si>
    <t>Meningioma, grade 1-2</t>
  </si>
  <si>
    <t>Meningioma, grade 3</t>
  </si>
  <si>
    <t>Pituitary tumors</t>
  </si>
  <si>
    <t>Schwannoma</t>
  </si>
  <si>
    <t>Other malignant tumors</t>
  </si>
  <si>
    <t>Other benign tumors</t>
  </si>
  <si>
    <t>Metastatic tumors</t>
  </si>
  <si>
    <t>Total</t>
  </si>
  <si>
    <t>Female</t>
    <phoneticPr fontId="3" type="noConversion"/>
  </si>
  <si>
    <t>Male</t>
    <phoneticPr fontId="3" type="noConversion"/>
  </si>
  <si>
    <t>Total</t>
    <phoneticPr fontId="3" type="noConversion"/>
  </si>
  <si>
    <t>By Surgery, n=3309</t>
    <phoneticPr fontId="3" type="noConversion"/>
  </si>
  <si>
    <t>0-14 years</t>
  </si>
  <si>
    <t>15-39 years</t>
  </si>
  <si>
    <t>≥40 years</t>
  </si>
  <si>
    <t>M:F ratio</t>
    <phoneticPr fontId="3" type="noConversion"/>
  </si>
  <si>
    <t>By Patient, n=2875</t>
    <phoneticPr fontId="3" type="noConversion"/>
  </si>
  <si>
    <t>histology, by age</t>
    <phoneticPr fontId="8" type="noConversion"/>
  </si>
  <si>
    <t>(sort by within-group number)</t>
    <phoneticPr fontId="8" type="noConversion"/>
  </si>
  <si>
    <t>≥40 years</t>
    <phoneticPr fontId="3" type="noConversion"/>
  </si>
  <si>
    <t>參考: 3309 Surgeries</t>
    <phoneticPr fontId="3" type="noConversion"/>
  </si>
  <si>
    <t>2875 Patients</t>
    <phoneticPr fontId="3" type="noConversion"/>
  </si>
  <si>
    <t>Patients by age</t>
    <phoneticPr fontId="3" type="noConversion"/>
  </si>
  <si>
    <t>3309 surgeries</t>
    <phoneticPr fontId="3" type="noConversion"/>
  </si>
  <si>
    <t>Surgery: Patho(0-14yr)</t>
    <phoneticPr fontId="3" type="noConversion"/>
  </si>
  <si>
    <t>Surgery: Patho(15-39yr)</t>
    <phoneticPr fontId="3" type="noConversion"/>
  </si>
  <si>
    <t>Surgery: Patho(40+yr)</t>
    <phoneticPr fontId="3" type="noConversion"/>
  </si>
  <si>
    <t>1549 Females</t>
    <phoneticPr fontId="3" type="noConversion"/>
  </si>
  <si>
    <t>1326 Males</t>
    <phoneticPr fontId="3" type="noConversion"/>
  </si>
  <si>
    <t>Malignant and Non-malignant</t>
    <phoneticPr fontId="3" type="noConversion"/>
  </si>
  <si>
    <t>Non-Malignant Meningioma</t>
    <phoneticPr fontId="3" type="noConversion"/>
  </si>
  <si>
    <t>Non-Malignant Pituitary tumors</t>
    <phoneticPr fontId="3" type="noConversion"/>
  </si>
  <si>
    <t>Non-Malignant Schwannoma</t>
    <phoneticPr fontId="3" type="noConversion"/>
  </si>
  <si>
    <t>All Other Non-Malignant tumors</t>
    <phoneticPr fontId="3" type="noConversion"/>
  </si>
  <si>
    <t>All Other Malignant tumors</t>
    <phoneticPr fontId="3" type="noConversion"/>
  </si>
  <si>
    <t>All Other Glioma</t>
    <phoneticPr fontId="3" type="noConversion"/>
  </si>
  <si>
    <t>Glioblastoma and Malignant Grade 4 Glioma</t>
    <phoneticPr fontId="3" type="noConversion"/>
  </si>
  <si>
    <t>2313 Patients of Primary Tumors</t>
    <phoneticPr fontId="3" type="noConversion"/>
  </si>
  <si>
    <t>Male:Female number ratio</t>
  </si>
  <si>
    <t>Study period</t>
  </si>
  <si>
    <t>Brain tumor resection, size ≤3cm)</t>
  </si>
  <si>
    <t>Brain tumor resection, size 3.1-6cm</t>
  </si>
  <si>
    <t>Brain tumor resection, size &gt;6cm</t>
  </si>
  <si>
    <t>Transsphenoidal removal of pituitary tumors</t>
  </si>
  <si>
    <t>Skull base tumor surgery</t>
  </si>
  <si>
    <t>Biopsy</t>
  </si>
  <si>
    <t>Aug 2020-Jul 2021</t>
    <phoneticPr fontId="3" type="noConversion"/>
  </si>
  <si>
    <t>Aug 2021-Jul 2022</t>
    <phoneticPr fontId="3" type="noConversion"/>
  </si>
  <si>
    <t>Aug 2022-Jul 2023</t>
    <phoneticPr fontId="3" type="noConversion"/>
  </si>
  <si>
    <t>Aug 2023-Jul 2024</t>
    <phoneticPr fontId="3" type="noConversion"/>
  </si>
  <si>
    <t>Aug 2024-Jul 2025</t>
    <phoneticPr fontId="3" type="noConversion"/>
  </si>
  <si>
    <t>Types of surgeries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</si>
</sst>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);[Red]\(0.00\)"/>
  </numFmts>
  <fonts count="10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  <font>
      <b/>
      <sz val="12"/>
      <color rgb="FF0000CC"/>
      <name val="新細明體"/>
      <family val="1"/>
      <charset val="136"/>
      <scheme val="minor"/>
    </font>
    <font>
      <b/>
      <sz val="14"/>
      <color theme="1"/>
      <name val="新細明體"/>
      <family val="1"/>
      <charset val="136"/>
      <scheme val="minor"/>
    </font>
    <font>
      <b/>
      <sz val="14"/>
      <color rgb="FFFF0000"/>
      <name val="新細明體"/>
      <family val="1"/>
      <charset val="136"/>
      <scheme val="minor"/>
    </font>
    <font>
      <b/>
      <sz val="14"/>
      <color theme="8" tint="-0.499984740745262"/>
      <name val="新細明體"/>
      <family val="1"/>
      <charset val="136"/>
      <scheme val="minor"/>
    </font>
    <font>
      <sz val="9"/>
      <name val="新細明體"/>
      <family val="1"/>
      <charset val="136"/>
      <scheme val="minor"/>
    </font>
    <font>
      <i/>
      <sz val="12"/>
      <color theme="1"/>
      <name val="新細明體"/>
      <family val="1"/>
      <charset val="136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6600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0066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C33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31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2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0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/>
    <xf numFmtId="176" fontId="0" fillId="0" borderId="0" xfId="0" applyNumberFormat="1"/>
    <xf numFmtId="0" fontId="0" fillId="0" borderId="0" xfId="0" applyAlignment="1"/>
  </cellXfs>
  <cellStyles count="2">
    <cellStyle name="一般" xfId="0" builtinId="0"/>
    <cellStyle name="一般 2" xfId="1"/>
  </cellStyles>
  <dxfs count="0"/>
  <tableStyles count="0" defaultTableStyle="TableStyleMedium2" defaultPivotStyle="PivotStyleMedium9"/>
  <colors>
    <mruColors>
      <color rgb="FFCC3300"/>
      <color rgb="FF00FF00"/>
      <color rgb="FF6600CC"/>
      <color rgb="FFFF66FF"/>
      <color rgb="FF00CCFF"/>
      <color rgb="FF000066"/>
      <color rgb="FFFF6600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Age ≥40 years</a:t>
            </a:r>
            <a:endParaRPr lang="zh-TW" altLang="en-US"/>
          </a:p>
        </c:rich>
      </c:tx>
      <c:layout>
        <c:manualLayout>
          <c:xMode val="edge"/>
          <c:yMode val="edge"/>
          <c:x val="4.7627620863064123E-2"/>
          <c:y val="2.429429091194550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5927578125000003"/>
          <c:y val="9.68306712962963E-2"/>
          <c:w val="0.64407118055555546"/>
          <c:h val="0.85876157407407394"/>
        </c:manualLayout>
      </c:layout>
      <c:pieChart>
        <c:varyColors val="1"/>
        <c:ser>
          <c:idx val="0"/>
          <c:order val="0"/>
          <c:tx>
            <c:strRef>
              <c:f>Surgery手術數!$Q$4</c:f>
              <c:strCache>
                <c:ptCount val="1"/>
                <c:pt idx="0">
                  <c:v>≥40 years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rgbClr val="00FF00"/>
              </a:solidFill>
              <a:ln>
                <a:solidFill>
                  <a:schemeClr val="bg1"/>
                </a:solidFill>
              </a:ln>
            </c:spPr>
          </c:dPt>
          <c:dPt>
            <c:idx val="1"/>
            <c:bubble3D val="0"/>
            <c:spPr>
              <a:solidFill>
                <a:srgbClr val="000066"/>
              </a:solidFill>
              <a:ln>
                <a:solidFill>
                  <a:schemeClr val="bg1"/>
                </a:solidFill>
              </a:ln>
            </c:spPr>
          </c:dPt>
          <c:dPt>
            <c:idx val="2"/>
            <c:bubble3D val="0"/>
            <c:spPr>
              <a:solidFill>
                <a:srgbClr val="FF0000"/>
              </a:solidFill>
              <a:ln>
                <a:solidFill>
                  <a:schemeClr val="bg1"/>
                </a:solidFill>
              </a:ln>
            </c:spPr>
          </c:dPt>
          <c:dPt>
            <c:idx val="3"/>
            <c:bubble3D val="0"/>
            <c:spPr>
              <a:solidFill>
                <a:srgbClr val="FFC000"/>
              </a:solidFill>
              <a:ln>
                <a:solidFill>
                  <a:schemeClr val="bg1"/>
                </a:solidFill>
              </a:ln>
            </c:spPr>
          </c:dPt>
          <c:dPt>
            <c:idx val="4"/>
            <c:bubble3D val="0"/>
            <c:spPr>
              <a:solidFill>
                <a:schemeClr val="accent3">
                  <a:lumMod val="75000"/>
                </a:schemeClr>
              </a:solidFill>
              <a:ln>
                <a:solidFill>
                  <a:schemeClr val="bg1"/>
                </a:solidFill>
              </a:ln>
            </c:spPr>
          </c:dPt>
          <c:dPt>
            <c:idx val="5"/>
            <c:bubble3D val="0"/>
            <c:spPr>
              <a:solidFill>
                <a:srgbClr val="0070C0"/>
              </a:solidFill>
              <a:ln>
                <a:solidFill>
                  <a:schemeClr val="bg1"/>
                </a:solidFill>
              </a:ln>
            </c:spPr>
          </c:dPt>
          <c:dPt>
            <c:idx val="6"/>
            <c:bubble3D val="0"/>
            <c:spPr>
              <a:solidFill>
                <a:schemeClr val="bg1"/>
              </a:solidFill>
              <a:ln>
                <a:solidFill>
                  <a:schemeClr val="bg1"/>
                </a:solidFill>
              </a:ln>
            </c:spPr>
          </c:dPt>
          <c:dPt>
            <c:idx val="7"/>
            <c:bubble3D val="0"/>
            <c:spPr>
              <a:solidFill>
                <a:srgbClr val="6600CC"/>
              </a:solidFill>
              <a:ln>
                <a:solidFill>
                  <a:schemeClr val="bg1"/>
                </a:solidFill>
              </a:ln>
            </c:spPr>
          </c:dPt>
          <c:dPt>
            <c:idx val="8"/>
            <c:bubble3D val="0"/>
            <c:spPr>
              <a:solidFill>
                <a:schemeClr val="bg1">
                  <a:lumMod val="50000"/>
                </a:schemeClr>
              </a:solidFill>
              <a:ln>
                <a:solidFill>
                  <a:schemeClr val="bg1"/>
                </a:solidFill>
              </a:ln>
            </c:spPr>
          </c:dPt>
          <c:dPt>
            <c:idx val="9"/>
            <c:bubble3D val="0"/>
            <c:spPr>
              <a:solidFill>
                <a:schemeClr val="bg2">
                  <a:lumMod val="50000"/>
                </a:schemeClr>
              </a:solidFill>
              <a:ln>
                <a:solidFill>
                  <a:schemeClr val="bg1"/>
                </a:solidFill>
              </a:ln>
            </c:spPr>
          </c:dPt>
          <c:dPt>
            <c:idx val="1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</c:spPr>
          </c:dPt>
          <c:dPt>
            <c:idx val="11"/>
            <c:bubble3D val="0"/>
            <c:spPr>
              <a:solidFill>
                <a:srgbClr val="00CCFF"/>
              </a:solidFill>
              <a:ln>
                <a:solidFill>
                  <a:schemeClr val="bg1"/>
                </a:solidFill>
              </a:ln>
            </c:spPr>
          </c:dPt>
          <c:dPt>
            <c:idx val="12"/>
            <c:bubble3D val="0"/>
            <c:spPr>
              <a:solidFill>
                <a:srgbClr val="FFFF00"/>
              </a:solidFill>
              <a:ln>
                <a:solidFill>
                  <a:schemeClr val="bg1"/>
                </a:solidFill>
              </a:ln>
            </c:spPr>
          </c:dPt>
          <c:dPt>
            <c:idx val="13"/>
            <c:bubble3D val="0"/>
            <c:spPr>
              <a:solidFill>
                <a:schemeClr val="accent4">
                  <a:lumMod val="75000"/>
                </a:schemeClr>
              </a:solidFill>
              <a:ln>
                <a:solidFill>
                  <a:schemeClr val="bg1"/>
                </a:solidFill>
              </a:ln>
            </c:spPr>
          </c:dPt>
          <c:dPt>
            <c:idx val="14"/>
            <c:bubble3D val="0"/>
            <c:spPr>
              <a:solidFill>
                <a:srgbClr val="FF66FF"/>
              </a:solidFill>
              <a:ln>
                <a:solidFill>
                  <a:schemeClr val="bg1"/>
                </a:solidFill>
              </a:ln>
            </c:spPr>
          </c:dPt>
          <c:dPt>
            <c:idx val="15"/>
            <c:bubble3D val="0"/>
            <c:spPr>
              <a:solidFill>
                <a:srgbClr val="FF6600"/>
              </a:solidFill>
              <a:ln>
                <a:solidFill>
                  <a:schemeClr val="bg1"/>
                </a:solidFill>
              </a:ln>
            </c:spPr>
          </c:dPt>
          <c:dLbls>
            <c:dLbl>
              <c:idx val="0"/>
              <c:layout>
                <c:manualLayout>
                  <c:x val="2.965958251324527E-2"/>
                  <c:y val="1.560468140442132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6"/>
              <c:layout>
                <c:manualLayout>
                  <c:x val="-1.4829791256622584E-2"/>
                  <c:y val="2.0806241872561769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7"/>
              <c:layout>
                <c:manualLayout>
                  <c:x val="-1.3481628415111442E-3"/>
                  <c:y val="2.0806241872561752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8"/>
              <c:layout>
                <c:manualLayout>
                  <c:x val="-3.2355908196267456E-2"/>
                  <c:y val="5.2015604681404422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9"/>
              <c:layout>
                <c:manualLayout>
                  <c:x val="6.0667327868001483E-2"/>
                  <c:y val="-1.560468140442132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0"/>
              <c:layout>
                <c:manualLayout>
                  <c:x val="0.16447565435525058"/>
                  <c:y val="1.040312093628088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numFmt formatCode="0.0%" sourceLinked="0"/>
            <c:txPr>
              <a:bodyPr/>
              <a:lstStyle/>
              <a:p>
                <a:pPr>
                  <a:defRPr sz="1400"/>
                </a:pPr>
                <a:endParaRPr lang="zh-TW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Surgery手術數!$P$5:$P$20</c:f>
              <c:strCache>
                <c:ptCount val="16"/>
                <c:pt idx="0">
                  <c:v>Meningioma, grade 1-2</c:v>
                </c:pt>
                <c:pt idx="1">
                  <c:v>Metastatic tumors</c:v>
                </c:pt>
                <c:pt idx="2">
                  <c:v>Diffuse glioma, grade 4</c:v>
                </c:pt>
                <c:pt idx="3">
                  <c:v>Pituitary tumors</c:v>
                </c:pt>
                <c:pt idx="4">
                  <c:v>Diffuse glioma, grade 3</c:v>
                </c:pt>
                <c:pt idx="5">
                  <c:v>Diffuse glioma, low-grade</c:v>
                </c:pt>
                <c:pt idx="6">
                  <c:v>Schwannoma</c:v>
                </c:pt>
                <c:pt idx="7">
                  <c:v>Other benign tumors</c:v>
                </c:pt>
                <c:pt idx="8">
                  <c:v>Lymphoma</c:v>
                </c:pt>
                <c:pt idx="9">
                  <c:v>Other malignant tumors</c:v>
                </c:pt>
                <c:pt idx="10">
                  <c:v>Meningioma, grade 3</c:v>
                </c:pt>
                <c:pt idx="11">
                  <c:v>Neuronal and mixed neuronal-glial tumors</c:v>
                </c:pt>
                <c:pt idx="12">
                  <c:v>Ependymal tumors</c:v>
                </c:pt>
                <c:pt idx="13">
                  <c:v>Embryonal tumors</c:v>
                </c:pt>
                <c:pt idx="14">
                  <c:v>Other astrocytic glioma</c:v>
                </c:pt>
                <c:pt idx="15">
                  <c:v>Germ cell tumors</c:v>
                </c:pt>
              </c:strCache>
            </c:strRef>
          </c:cat>
          <c:val>
            <c:numRef>
              <c:f>Surgery手術數!$Q$5:$Q$20</c:f>
              <c:numCache>
                <c:formatCode>General</c:formatCode>
                <c:ptCount val="16"/>
                <c:pt idx="0">
                  <c:v>627</c:v>
                </c:pt>
                <c:pt idx="1">
                  <c:v>593</c:v>
                </c:pt>
                <c:pt idx="2">
                  <c:v>439</c:v>
                </c:pt>
                <c:pt idx="3">
                  <c:v>422</c:v>
                </c:pt>
                <c:pt idx="4">
                  <c:v>107</c:v>
                </c:pt>
                <c:pt idx="5">
                  <c:v>105</c:v>
                </c:pt>
                <c:pt idx="6">
                  <c:v>104</c:v>
                </c:pt>
                <c:pt idx="7">
                  <c:v>89</c:v>
                </c:pt>
                <c:pt idx="8">
                  <c:v>85</c:v>
                </c:pt>
                <c:pt idx="9">
                  <c:v>39</c:v>
                </c:pt>
                <c:pt idx="10">
                  <c:v>26</c:v>
                </c:pt>
                <c:pt idx="11">
                  <c:v>23</c:v>
                </c:pt>
                <c:pt idx="12">
                  <c:v>8</c:v>
                </c:pt>
                <c:pt idx="13">
                  <c:v>4</c:v>
                </c:pt>
                <c:pt idx="14">
                  <c:v>2</c:v>
                </c:pt>
                <c:pt idx="15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Age 15-39 years</a:t>
            </a:r>
            <a:endParaRPr lang="zh-TW" altLang="en-US"/>
          </a:p>
        </c:rich>
      </c:tx>
      <c:layout>
        <c:manualLayout>
          <c:xMode val="edge"/>
          <c:yMode val="edge"/>
          <c:x val="3.7176389595466465E-2"/>
          <c:y val="2.31084327989656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9894140625000001"/>
          <c:y val="4.6388425925925923E-2"/>
          <c:w val="0.64731692708333322"/>
          <c:h val="0.86308923611111099"/>
        </c:manualLayout>
      </c:layout>
      <c:pieChart>
        <c:varyColors val="1"/>
        <c:ser>
          <c:idx val="0"/>
          <c:order val="0"/>
          <c:tx>
            <c:strRef>
              <c:f>Surgery手術數!$O$4</c:f>
              <c:strCache>
                <c:ptCount val="1"/>
                <c:pt idx="0">
                  <c:v>15-39 years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rgbClr val="FFC000"/>
              </a:solidFill>
              <a:ln>
                <a:solidFill>
                  <a:schemeClr val="bg1"/>
                </a:solidFill>
              </a:ln>
            </c:spPr>
          </c:dPt>
          <c:dPt>
            <c:idx val="1"/>
            <c:bubble3D val="0"/>
            <c:spPr>
              <a:solidFill>
                <a:srgbClr val="FF0000"/>
              </a:solidFill>
              <a:ln>
                <a:solidFill>
                  <a:schemeClr val="bg1"/>
                </a:solidFill>
              </a:ln>
            </c:spPr>
          </c:dPt>
          <c:dPt>
            <c:idx val="2"/>
            <c:bubble3D val="0"/>
            <c:spPr>
              <a:solidFill>
                <a:srgbClr val="0070C0"/>
              </a:solidFill>
              <a:ln>
                <a:solidFill>
                  <a:schemeClr val="bg1"/>
                </a:solidFill>
              </a:ln>
            </c:spPr>
          </c:dPt>
          <c:dPt>
            <c:idx val="3"/>
            <c:bubble3D val="0"/>
            <c:spPr>
              <a:solidFill>
                <a:srgbClr val="00FF00"/>
              </a:solidFill>
              <a:ln>
                <a:solidFill>
                  <a:schemeClr val="bg1"/>
                </a:solidFill>
              </a:ln>
            </c:spPr>
          </c:dPt>
          <c:dPt>
            <c:idx val="4"/>
            <c:bubble3D val="0"/>
            <c:spPr>
              <a:solidFill>
                <a:srgbClr val="6600CC"/>
              </a:solidFill>
              <a:ln>
                <a:solidFill>
                  <a:schemeClr val="bg1"/>
                </a:solidFill>
              </a:ln>
            </c:spPr>
          </c:dPt>
          <c:dPt>
            <c:idx val="5"/>
            <c:bubble3D val="0"/>
            <c:spPr>
              <a:solidFill>
                <a:schemeClr val="accent3">
                  <a:lumMod val="75000"/>
                </a:schemeClr>
              </a:solidFill>
              <a:ln>
                <a:solidFill>
                  <a:schemeClr val="bg1"/>
                </a:solidFill>
              </a:ln>
            </c:spPr>
          </c:dPt>
          <c:dPt>
            <c:idx val="6"/>
            <c:bubble3D val="0"/>
            <c:spPr>
              <a:solidFill>
                <a:srgbClr val="000066"/>
              </a:solidFill>
              <a:ln>
                <a:solidFill>
                  <a:schemeClr val="bg1"/>
                </a:solidFill>
              </a:ln>
            </c:spPr>
          </c:dPt>
          <c:dPt>
            <c:idx val="7"/>
            <c:bubble3D val="0"/>
            <c:spPr>
              <a:solidFill>
                <a:schemeClr val="bg1"/>
              </a:solidFill>
              <a:ln>
                <a:solidFill>
                  <a:schemeClr val="bg1"/>
                </a:solidFill>
              </a:ln>
            </c:spPr>
          </c:dPt>
          <c:dPt>
            <c:idx val="8"/>
            <c:bubble3D val="0"/>
            <c:spPr>
              <a:solidFill>
                <a:schemeClr val="bg2">
                  <a:lumMod val="50000"/>
                </a:schemeClr>
              </a:solidFill>
              <a:ln>
                <a:solidFill>
                  <a:schemeClr val="bg1"/>
                </a:solidFill>
              </a:ln>
            </c:spPr>
          </c:dPt>
          <c:dPt>
            <c:idx val="9"/>
            <c:bubble3D val="0"/>
            <c:spPr>
              <a:solidFill>
                <a:srgbClr val="00CCFF"/>
              </a:solidFill>
              <a:ln>
                <a:solidFill>
                  <a:schemeClr val="bg1"/>
                </a:solidFill>
              </a:ln>
            </c:spPr>
          </c:dPt>
          <c:dPt>
            <c:idx val="10"/>
            <c:bubble3D val="0"/>
            <c:spPr>
              <a:solidFill>
                <a:schemeClr val="accent6">
                  <a:lumMod val="75000"/>
                </a:schemeClr>
              </a:solidFill>
              <a:ln>
                <a:solidFill>
                  <a:schemeClr val="bg1"/>
                </a:solidFill>
              </a:ln>
            </c:spPr>
          </c:dPt>
          <c:dPt>
            <c:idx val="11"/>
            <c:bubble3D val="0"/>
            <c:spPr>
              <a:solidFill>
                <a:srgbClr val="FF66FF"/>
              </a:solidFill>
              <a:ln>
                <a:solidFill>
                  <a:schemeClr val="bg1"/>
                </a:solidFill>
              </a:ln>
            </c:spPr>
          </c:dPt>
          <c:dPt>
            <c:idx val="12"/>
            <c:bubble3D val="0"/>
            <c:spPr>
              <a:solidFill>
                <a:srgbClr val="FFFF00"/>
              </a:solidFill>
              <a:ln>
                <a:solidFill>
                  <a:schemeClr val="bg1"/>
                </a:solidFill>
              </a:ln>
            </c:spPr>
          </c:dPt>
          <c:dPt>
            <c:idx val="1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</c:spPr>
          </c:dPt>
          <c:dPt>
            <c:idx val="14"/>
            <c:bubble3D val="0"/>
            <c:spPr>
              <a:solidFill>
                <a:schemeClr val="accent4">
                  <a:lumMod val="75000"/>
                </a:schemeClr>
              </a:solidFill>
              <a:ln>
                <a:solidFill>
                  <a:schemeClr val="bg1"/>
                </a:solidFill>
              </a:ln>
            </c:spPr>
          </c:dPt>
          <c:dPt>
            <c:idx val="15"/>
            <c:bubble3D val="0"/>
            <c:spPr>
              <a:solidFill>
                <a:schemeClr val="bg1">
                  <a:lumMod val="50000"/>
                </a:schemeClr>
              </a:solidFill>
              <a:ln>
                <a:solidFill>
                  <a:schemeClr val="bg1"/>
                </a:solidFill>
              </a:ln>
            </c:spPr>
          </c:dPt>
          <c:dLbls>
            <c:dLbl>
              <c:idx val="7"/>
              <c:layout>
                <c:manualLayout>
                  <c:x val="0"/>
                  <c:y val="2.677942212825933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8"/>
              <c:layout>
                <c:manualLayout>
                  <c:x val="-1.1571841851494702E-2"/>
                  <c:y val="4.228329809725161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9"/>
              <c:layout>
                <c:manualLayout>
                  <c:x val="-2.4429443908711015E-2"/>
                  <c:y val="4.087374384755819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0"/>
              <c:layout>
                <c:manualLayout>
                  <c:x val="-5.7859411739395641E-2"/>
                  <c:y val="-1.4094432699083732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1"/>
              <c:layout>
                <c:manualLayout>
                  <c:x val="1.285760205721633E-2"/>
                  <c:y val="-2.8188865398167725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2"/>
              <c:layout>
                <c:manualLayout>
                  <c:x val="0.10928951624537772"/>
                  <c:y val="-3.805496828752642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3"/>
              <c:layout>
                <c:manualLayout>
                  <c:x val="0.13757634201221472"/>
                  <c:y val="9.8661028893587029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4"/>
              <c:delete val="1"/>
            </c:dLbl>
            <c:dLbl>
              <c:idx val="15"/>
              <c:delete val="1"/>
            </c:dLbl>
            <c:numFmt formatCode="0.0%" sourceLinked="0"/>
            <c:txPr>
              <a:bodyPr/>
              <a:lstStyle/>
              <a:p>
                <a:pPr>
                  <a:defRPr sz="1400"/>
                </a:pPr>
                <a:endParaRPr lang="zh-TW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Surgery手術數!$N$5:$N$20</c:f>
              <c:strCache>
                <c:ptCount val="16"/>
                <c:pt idx="0">
                  <c:v>Pituitary tumors</c:v>
                </c:pt>
                <c:pt idx="1">
                  <c:v>Diffuse glioma, grade 4</c:v>
                </c:pt>
                <c:pt idx="2">
                  <c:v>Diffuse glioma, low-grade</c:v>
                </c:pt>
                <c:pt idx="3">
                  <c:v>Meningioma, grade 1-2</c:v>
                </c:pt>
                <c:pt idx="4">
                  <c:v>Other benign tumors</c:v>
                </c:pt>
                <c:pt idx="5">
                  <c:v>Diffuse glioma, grade 3</c:v>
                </c:pt>
                <c:pt idx="6">
                  <c:v>Metastatic tumors</c:v>
                </c:pt>
                <c:pt idx="7">
                  <c:v>Schwannoma</c:v>
                </c:pt>
                <c:pt idx="8">
                  <c:v>Other malignant tumors</c:v>
                </c:pt>
                <c:pt idx="9">
                  <c:v>Neuronal and mixed neuronal-glial tumors</c:v>
                </c:pt>
                <c:pt idx="10">
                  <c:v>Germ cell tumors</c:v>
                </c:pt>
                <c:pt idx="11">
                  <c:v>Other astrocytic glioma</c:v>
                </c:pt>
                <c:pt idx="12">
                  <c:v>Ependymal tumors</c:v>
                </c:pt>
                <c:pt idx="13">
                  <c:v>Meningioma, grade 3</c:v>
                </c:pt>
                <c:pt idx="14">
                  <c:v>Embryonal tumors</c:v>
                </c:pt>
                <c:pt idx="15">
                  <c:v>Lymphoma</c:v>
                </c:pt>
              </c:strCache>
            </c:strRef>
          </c:cat>
          <c:val>
            <c:numRef>
              <c:f>Surgery手術數!$O$5:$O$20</c:f>
              <c:numCache>
                <c:formatCode>General</c:formatCode>
                <c:ptCount val="16"/>
                <c:pt idx="0">
                  <c:v>124</c:v>
                </c:pt>
                <c:pt idx="1">
                  <c:v>91</c:v>
                </c:pt>
                <c:pt idx="2">
                  <c:v>57</c:v>
                </c:pt>
                <c:pt idx="3">
                  <c:v>55</c:v>
                </c:pt>
                <c:pt idx="4">
                  <c:v>45</c:v>
                </c:pt>
                <c:pt idx="5">
                  <c:v>31</c:v>
                </c:pt>
                <c:pt idx="6">
                  <c:v>26</c:v>
                </c:pt>
                <c:pt idx="7">
                  <c:v>20</c:v>
                </c:pt>
                <c:pt idx="8">
                  <c:v>18</c:v>
                </c:pt>
                <c:pt idx="9">
                  <c:v>14</c:v>
                </c:pt>
                <c:pt idx="10">
                  <c:v>13</c:v>
                </c:pt>
                <c:pt idx="11">
                  <c:v>9</c:v>
                </c:pt>
                <c:pt idx="12">
                  <c:v>8</c:v>
                </c:pt>
                <c:pt idx="13">
                  <c:v>7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Age 0-14 years</a:t>
            </a:r>
            <a:endParaRPr lang="zh-TW" altLang="en-US"/>
          </a:p>
        </c:rich>
      </c:tx>
      <c:layout>
        <c:manualLayout>
          <c:xMode val="edge"/>
          <c:yMode val="edge"/>
          <c:x val="5.7563317606235752E-2"/>
          <c:y val="1.492799886500673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0702233894112387"/>
          <c:y val="5.6047222222222234E-2"/>
          <c:w val="0.65124904513888893"/>
          <c:h val="0.86833206018518516"/>
        </c:manualLayout>
      </c:layout>
      <c:pieChart>
        <c:varyColors val="1"/>
        <c:ser>
          <c:idx val="0"/>
          <c:order val="0"/>
          <c:tx>
            <c:strRef>
              <c:f>Surgery手術數!$M$4</c:f>
              <c:strCache>
                <c:ptCount val="1"/>
                <c:pt idx="0">
                  <c:v>0-14 years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rgbClr val="6600CC"/>
              </a:solidFill>
              <a:ln>
                <a:solidFill>
                  <a:schemeClr val="bg1"/>
                </a:solidFill>
              </a:ln>
            </c:spPr>
          </c:dPt>
          <c:dPt>
            <c:idx val="1"/>
            <c:bubble3D val="0"/>
            <c:spPr>
              <a:solidFill>
                <a:srgbClr val="FFFF00"/>
              </a:solidFill>
              <a:ln>
                <a:solidFill>
                  <a:schemeClr val="bg1"/>
                </a:solidFill>
              </a:ln>
            </c:spPr>
          </c:dPt>
          <c:dPt>
            <c:idx val="2"/>
            <c:bubble3D val="0"/>
            <c:spPr>
              <a:solidFill>
                <a:schemeClr val="accent6">
                  <a:lumMod val="75000"/>
                </a:schemeClr>
              </a:solidFill>
              <a:ln>
                <a:solidFill>
                  <a:schemeClr val="bg1"/>
                </a:solidFill>
              </a:ln>
            </c:spPr>
          </c:dPt>
          <c:dPt>
            <c:idx val="3"/>
            <c:bubble3D val="0"/>
            <c:spPr>
              <a:solidFill>
                <a:srgbClr val="FF66FF"/>
              </a:solidFill>
              <a:ln>
                <a:solidFill>
                  <a:schemeClr val="bg1"/>
                </a:solidFill>
              </a:ln>
            </c:spPr>
          </c:dPt>
          <c:dPt>
            <c:idx val="4"/>
            <c:bubble3D val="0"/>
            <c:spPr>
              <a:solidFill>
                <a:schemeClr val="accent4">
                  <a:lumMod val="75000"/>
                </a:schemeClr>
              </a:solidFill>
              <a:ln>
                <a:solidFill>
                  <a:schemeClr val="bg1"/>
                </a:solidFill>
              </a:ln>
            </c:spPr>
          </c:dPt>
          <c:dPt>
            <c:idx val="5"/>
            <c:bubble3D val="0"/>
            <c:spPr>
              <a:solidFill>
                <a:srgbClr val="FF0000"/>
              </a:solidFill>
              <a:ln>
                <a:solidFill>
                  <a:schemeClr val="bg1"/>
                </a:solidFill>
              </a:ln>
            </c:spPr>
          </c:dPt>
          <c:dPt>
            <c:idx val="6"/>
            <c:bubble3D val="0"/>
            <c:spPr>
              <a:solidFill>
                <a:schemeClr val="bg2">
                  <a:lumMod val="50000"/>
                </a:schemeClr>
              </a:solidFill>
              <a:ln>
                <a:solidFill>
                  <a:schemeClr val="bg1"/>
                </a:solidFill>
              </a:ln>
            </c:spPr>
          </c:dPt>
          <c:dPt>
            <c:idx val="7"/>
            <c:bubble3D val="0"/>
            <c:spPr>
              <a:solidFill>
                <a:srgbClr val="0070C0"/>
              </a:solidFill>
              <a:ln>
                <a:solidFill>
                  <a:schemeClr val="bg1"/>
                </a:solidFill>
              </a:ln>
            </c:spPr>
          </c:dPt>
          <c:dPt>
            <c:idx val="8"/>
            <c:bubble3D val="0"/>
            <c:spPr>
              <a:solidFill>
                <a:schemeClr val="accent3">
                  <a:lumMod val="75000"/>
                </a:schemeClr>
              </a:solidFill>
              <a:ln>
                <a:solidFill>
                  <a:schemeClr val="bg1"/>
                </a:solidFill>
              </a:ln>
            </c:spPr>
          </c:dPt>
          <c:dPt>
            <c:idx val="9"/>
            <c:bubble3D val="0"/>
            <c:spPr>
              <a:solidFill>
                <a:srgbClr val="00CCFF"/>
              </a:solidFill>
              <a:ln>
                <a:solidFill>
                  <a:schemeClr val="bg1"/>
                </a:solidFill>
              </a:ln>
            </c:spPr>
          </c:dPt>
          <c:dLbls>
            <c:dLbl>
              <c:idx val="5"/>
              <c:layout>
                <c:manualLayout>
                  <c:x val="3.3698396345501788E-3"/>
                  <c:y val="-7.507507507507563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6"/>
              <c:layout>
                <c:manualLayout>
                  <c:x val="-1.3479358538200715E-2"/>
                  <c:y val="2.7027027027027029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7"/>
              <c:layout>
                <c:manualLayout>
                  <c:x val="1.0109518903650494E-2"/>
                  <c:y val="9.0090090090090089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8"/>
              <c:layout>
                <c:manualLayout>
                  <c:x val="6.7396792691003984E-3"/>
                  <c:y val="-1.8018018018018025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9"/>
              <c:layout>
                <c:manualLayout>
                  <c:x val="9.8848629280138572E-2"/>
                  <c:y val="4.504504504504501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2"/>
              <c:layout>
                <c:manualLayout>
                  <c:x val="7.0766632325553747E-2"/>
                  <c:y val="-3.003003003003003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4"/>
              <c:layout>
                <c:manualLayout>
                  <c:x val="-2.3588877441851251E-2"/>
                  <c:y val="-3.003003003003003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5"/>
              <c:layout>
                <c:manualLayout>
                  <c:x val="0.15501262318930822"/>
                  <c:y val="1.6516516516516529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</c:dLbl>
            <c:numFmt formatCode="0.0%" sourceLinked="0"/>
            <c:txPr>
              <a:bodyPr/>
              <a:lstStyle/>
              <a:p>
                <a:pPr>
                  <a:defRPr sz="1400"/>
                </a:pPr>
                <a:endParaRPr lang="zh-TW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Surgery手術數!$L$5:$L$14</c:f>
              <c:strCache>
                <c:ptCount val="10"/>
                <c:pt idx="0">
                  <c:v>Other benign tumors</c:v>
                </c:pt>
                <c:pt idx="1">
                  <c:v>Ependymal tumors</c:v>
                </c:pt>
                <c:pt idx="2">
                  <c:v>Germ cell tumors</c:v>
                </c:pt>
                <c:pt idx="3">
                  <c:v>Other astrocytic glioma</c:v>
                </c:pt>
                <c:pt idx="4">
                  <c:v>Embryonal tumors</c:v>
                </c:pt>
                <c:pt idx="5">
                  <c:v>Diffuse glioma, grade 4</c:v>
                </c:pt>
                <c:pt idx="6">
                  <c:v>Other malignant tumors</c:v>
                </c:pt>
                <c:pt idx="7">
                  <c:v>Diffuse glioma, low-grade</c:v>
                </c:pt>
                <c:pt idx="8">
                  <c:v>Diffuse glioma, grade 3</c:v>
                </c:pt>
                <c:pt idx="9">
                  <c:v>Neuronal and mixed neuronal-glial tumors</c:v>
                </c:pt>
              </c:strCache>
            </c:strRef>
          </c:cat>
          <c:val>
            <c:numRef>
              <c:f>Surgery手術數!$M$5:$M$14</c:f>
              <c:numCache>
                <c:formatCode>General</c:formatCode>
                <c:ptCount val="10"/>
                <c:pt idx="0">
                  <c:v>27</c:v>
                </c:pt>
                <c:pt idx="1">
                  <c:v>15</c:v>
                </c:pt>
                <c:pt idx="2">
                  <c:v>15</c:v>
                </c:pt>
                <c:pt idx="3">
                  <c:v>14</c:v>
                </c:pt>
                <c:pt idx="4">
                  <c:v>14</c:v>
                </c:pt>
                <c:pt idx="5">
                  <c:v>13</c:v>
                </c:pt>
                <c:pt idx="6">
                  <c:v>8</c:v>
                </c:pt>
                <c:pt idx="7">
                  <c:v>5</c:v>
                </c:pt>
                <c:pt idx="8">
                  <c:v>2</c:v>
                </c:pt>
                <c:pt idx="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3309 Surgeries</a:t>
            </a:r>
            <a:endParaRPr lang="zh-TW" altLang="en-US"/>
          </a:p>
        </c:rich>
      </c:tx>
      <c:layout>
        <c:manualLayout>
          <c:xMode val="edge"/>
          <c:yMode val="edge"/>
          <c:x val="2.1618361504367186E-2"/>
          <c:y val="1.492799886500673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4524194564103726"/>
          <c:y val="4.9045186919202677E-2"/>
          <c:w val="0.6544754831341737"/>
          <c:h val="0.87484512071126241"/>
        </c:manualLayout>
      </c:layout>
      <c:pieChart>
        <c:varyColors val="1"/>
        <c:ser>
          <c:idx val="0"/>
          <c:order val="0"/>
          <c:tx>
            <c:strRef>
              <c:f>Surgery手術數!$B$27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rgbClr val="00FF00"/>
              </a:solidFill>
              <a:ln>
                <a:solidFill>
                  <a:schemeClr val="bg1"/>
                </a:solidFill>
              </a:ln>
            </c:spPr>
          </c:dPt>
          <c:dPt>
            <c:idx val="1"/>
            <c:bubble3D val="0"/>
            <c:spPr>
              <a:solidFill>
                <a:srgbClr val="000066"/>
              </a:solidFill>
              <a:ln>
                <a:solidFill>
                  <a:schemeClr val="bg1"/>
                </a:solidFill>
              </a:ln>
            </c:spPr>
          </c:dPt>
          <c:dPt>
            <c:idx val="2"/>
            <c:bubble3D val="0"/>
            <c:spPr>
              <a:solidFill>
                <a:srgbClr val="FFC000"/>
              </a:solidFill>
              <a:ln>
                <a:solidFill>
                  <a:schemeClr val="bg1"/>
                </a:solidFill>
              </a:ln>
            </c:spPr>
          </c:dPt>
          <c:dPt>
            <c:idx val="3"/>
            <c:bubble3D val="0"/>
            <c:spPr>
              <a:solidFill>
                <a:srgbClr val="FF0000"/>
              </a:solidFill>
              <a:ln>
                <a:solidFill>
                  <a:schemeClr val="bg1"/>
                </a:solidFill>
              </a:ln>
            </c:spPr>
          </c:dPt>
          <c:dPt>
            <c:idx val="4"/>
            <c:bubble3D val="0"/>
            <c:spPr>
              <a:solidFill>
                <a:srgbClr val="0070C0"/>
              </a:solidFill>
              <a:ln>
                <a:solidFill>
                  <a:schemeClr val="bg1"/>
                </a:solidFill>
              </a:ln>
            </c:spPr>
          </c:dPt>
          <c:dPt>
            <c:idx val="5"/>
            <c:bubble3D val="0"/>
            <c:spPr>
              <a:solidFill>
                <a:srgbClr val="6600CC"/>
              </a:solidFill>
              <a:ln>
                <a:solidFill>
                  <a:schemeClr val="bg1"/>
                </a:solidFill>
              </a:ln>
            </c:spPr>
          </c:dPt>
          <c:dPt>
            <c:idx val="6"/>
            <c:bubble3D val="0"/>
            <c:spPr>
              <a:solidFill>
                <a:schemeClr val="accent3">
                  <a:lumMod val="75000"/>
                </a:schemeClr>
              </a:solidFill>
              <a:ln>
                <a:solidFill>
                  <a:schemeClr val="bg1"/>
                </a:solidFill>
              </a:ln>
            </c:spPr>
          </c:dPt>
          <c:dPt>
            <c:idx val="7"/>
            <c:bubble3D val="0"/>
            <c:spPr>
              <a:solidFill>
                <a:schemeClr val="bg1"/>
              </a:solidFill>
              <a:ln>
                <a:solidFill>
                  <a:schemeClr val="bg1"/>
                </a:solidFill>
              </a:ln>
            </c:spPr>
          </c:dPt>
          <c:dPt>
            <c:idx val="8"/>
            <c:bubble3D val="0"/>
            <c:spPr>
              <a:solidFill>
                <a:schemeClr val="bg1">
                  <a:lumMod val="50000"/>
                </a:schemeClr>
              </a:solidFill>
              <a:ln>
                <a:solidFill>
                  <a:schemeClr val="bg1"/>
                </a:solidFill>
              </a:ln>
            </c:spPr>
          </c:dPt>
          <c:dPt>
            <c:idx val="9"/>
            <c:bubble3D val="0"/>
            <c:spPr>
              <a:solidFill>
                <a:schemeClr val="bg2">
                  <a:lumMod val="50000"/>
                </a:schemeClr>
              </a:solidFill>
              <a:ln>
                <a:solidFill>
                  <a:schemeClr val="bg1"/>
                </a:solidFill>
              </a:ln>
            </c:spPr>
          </c:dPt>
          <c:dPt>
            <c:idx val="10"/>
            <c:bubble3D val="0"/>
            <c:spPr>
              <a:solidFill>
                <a:srgbClr val="00CCFF"/>
              </a:solidFill>
              <a:ln>
                <a:solidFill>
                  <a:schemeClr val="bg1"/>
                </a:solidFill>
              </a:ln>
            </c:spPr>
          </c:dPt>
          <c:dPt>
            <c:idx val="1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</c:spPr>
          </c:dPt>
          <c:dPt>
            <c:idx val="12"/>
            <c:bubble3D val="0"/>
            <c:spPr>
              <a:solidFill>
                <a:srgbClr val="FFFF00"/>
              </a:solidFill>
              <a:ln>
                <a:solidFill>
                  <a:schemeClr val="bg1"/>
                </a:solidFill>
              </a:ln>
            </c:spPr>
          </c:dPt>
          <c:dPt>
            <c:idx val="13"/>
            <c:bubble3D val="0"/>
            <c:spPr>
              <a:solidFill>
                <a:schemeClr val="accent6">
                  <a:lumMod val="75000"/>
                </a:schemeClr>
              </a:solidFill>
              <a:ln>
                <a:solidFill>
                  <a:schemeClr val="bg1"/>
                </a:solidFill>
              </a:ln>
            </c:spPr>
          </c:dPt>
          <c:dPt>
            <c:idx val="14"/>
            <c:bubble3D val="0"/>
            <c:spPr>
              <a:solidFill>
                <a:srgbClr val="FF66FF"/>
              </a:solidFill>
              <a:ln>
                <a:solidFill>
                  <a:schemeClr val="bg1"/>
                </a:solidFill>
              </a:ln>
            </c:spPr>
          </c:dPt>
          <c:dPt>
            <c:idx val="15"/>
            <c:bubble3D val="0"/>
            <c:spPr>
              <a:solidFill>
                <a:schemeClr val="accent4">
                  <a:lumMod val="75000"/>
                </a:schemeClr>
              </a:solidFill>
              <a:ln>
                <a:solidFill>
                  <a:schemeClr val="bg1"/>
                </a:solidFill>
              </a:ln>
            </c:spPr>
          </c:dPt>
          <c:dLbls>
            <c:dLbl>
              <c:idx val="0"/>
              <c:layout>
                <c:manualLayout>
                  <c:x val="4.4931195127334888E-3"/>
                  <c:y val="3.153153153153154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6"/>
              <c:layout>
                <c:manualLayout>
                  <c:x val="0"/>
                  <c:y val="3.00300300300300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7"/>
              <c:layout>
                <c:manualLayout>
                  <c:x val="-6.1780393300086597E-2"/>
                  <c:y val="5.105093282258636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8"/>
              <c:layout>
                <c:manualLayout>
                  <c:x val="-9.0985758580089324E-2"/>
                  <c:y val="4.954954954954955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9"/>
              <c:layout>
                <c:manualLayout>
                  <c:x val="-3.1451836589135002E-2"/>
                  <c:y val="3.45345345345345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0"/>
              <c:layout>
                <c:manualLayout>
                  <c:x val="4.7177754883702502E-2"/>
                  <c:y val="0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1"/>
              <c:layout>
                <c:manualLayout>
                  <c:x val="0.21791629636757823"/>
                  <c:y val="3.003003003003003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numFmt formatCode="0.0%" sourceLinked="0"/>
            <c:txPr>
              <a:bodyPr/>
              <a:lstStyle/>
              <a:p>
                <a:pPr>
                  <a:defRPr sz="1400"/>
                </a:pPr>
                <a:endParaRPr lang="zh-TW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Surgery手術數!$A$28:$A$43</c:f>
              <c:strCache>
                <c:ptCount val="16"/>
                <c:pt idx="0">
                  <c:v>Meningioma, grade 1-2</c:v>
                </c:pt>
                <c:pt idx="1">
                  <c:v>Metastatic tumors</c:v>
                </c:pt>
                <c:pt idx="2">
                  <c:v>Pituitary tumors</c:v>
                </c:pt>
                <c:pt idx="3">
                  <c:v>Diffuse glioma, grade 4</c:v>
                </c:pt>
                <c:pt idx="4">
                  <c:v>Diffuse glioma, low-grade</c:v>
                </c:pt>
                <c:pt idx="5">
                  <c:v>Other benign tumors</c:v>
                </c:pt>
                <c:pt idx="6">
                  <c:v>Diffuse glioma, grade 3</c:v>
                </c:pt>
                <c:pt idx="7">
                  <c:v>Schwannoma</c:v>
                </c:pt>
                <c:pt idx="8">
                  <c:v>Lymphoma</c:v>
                </c:pt>
                <c:pt idx="9">
                  <c:v>Other malignant tumors</c:v>
                </c:pt>
                <c:pt idx="10">
                  <c:v>Neuronal and mixed neuronal-glial tumors</c:v>
                </c:pt>
                <c:pt idx="11">
                  <c:v>Meningioma, grade 3</c:v>
                </c:pt>
                <c:pt idx="12">
                  <c:v>Ependymal tumors</c:v>
                </c:pt>
                <c:pt idx="13">
                  <c:v>Germ cell tumors</c:v>
                </c:pt>
                <c:pt idx="14">
                  <c:v>Other astrocytic glioma</c:v>
                </c:pt>
                <c:pt idx="15">
                  <c:v>Embryonal tumors</c:v>
                </c:pt>
              </c:strCache>
            </c:strRef>
          </c:cat>
          <c:val>
            <c:numRef>
              <c:f>Surgery手術數!$B$28:$B$43</c:f>
              <c:numCache>
                <c:formatCode>General</c:formatCode>
                <c:ptCount val="16"/>
                <c:pt idx="0">
                  <c:v>682</c:v>
                </c:pt>
                <c:pt idx="1">
                  <c:v>619</c:v>
                </c:pt>
                <c:pt idx="2">
                  <c:v>546</c:v>
                </c:pt>
                <c:pt idx="3">
                  <c:v>543</c:v>
                </c:pt>
                <c:pt idx="4">
                  <c:v>167</c:v>
                </c:pt>
                <c:pt idx="5">
                  <c:v>161</c:v>
                </c:pt>
                <c:pt idx="6">
                  <c:v>140</c:v>
                </c:pt>
                <c:pt idx="7">
                  <c:v>124</c:v>
                </c:pt>
                <c:pt idx="8">
                  <c:v>86</c:v>
                </c:pt>
                <c:pt idx="9">
                  <c:v>65</c:v>
                </c:pt>
                <c:pt idx="10">
                  <c:v>39</c:v>
                </c:pt>
                <c:pt idx="11">
                  <c:v>33</c:v>
                </c:pt>
                <c:pt idx="12">
                  <c:v>31</c:v>
                </c:pt>
                <c:pt idx="13">
                  <c:v>29</c:v>
                </c:pt>
                <c:pt idx="14">
                  <c:v>25</c:v>
                </c:pt>
                <c:pt idx="15">
                  <c:v>19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400"/>
            </a:pPr>
            <a:r>
              <a:rPr lang="en-US" altLang="zh-TW" sz="2400"/>
              <a:t>3309 Surgeries</a:t>
            </a:r>
            <a:endParaRPr lang="zh-TW" altLang="en-US" sz="2400"/>
          </a:p>
        </c:rich>
      </c:tx>
      <c:layout>
        <c:manualLayout>
          <c:xMode val="edge"/>
          <c:yMode val="edge"/>
          <c:x val="2.1618361504367186E-2"/>
          <c:y val="1.492799886500673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4524194564103726"/>
          <c:y val="4.9045186919202677E-2"/>
          <c:w val="0.6544754831341737"/>
          <c:h val="0.87484512071126241"/>
        </c:manualLayout>
      </c:layout>
      <c:pieChart>
        <c:varyColors val="1"/>
        <c:ser>
          <c:idx val="0"/>
          <c:order val="0"/>
          <c:tx>
            <c:strRef>
              <c:f>Surgery手術數!$B$89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FF00"/>
            </a:solidFill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solidFill>
                  <a:schemeClr val="bg1"/>
                </a:solidFill>
              </a:ln>
            </c:spPr>
          </c:dPt>
          <c:dPt>
            <c:idx val="1"/>
            <c:bubble3D val="0"/>
            <c:spPr>
              <a:solidFill>
                <a:srgbClr val="0070C0"/>
              </a:solidFill>
              <a:ln>
                <a:solidFill>
                  <a:schemeClr val="bg1"/>
                </a:solidFill>
              </a:ln>
            </c:spPr>
          </c:dPt>
          <c:dPt>
            <c:idx val="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</c:spPr>
          </c:dPt>
          <c:dPt>
            <c:idx val="3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solidFill>
                  <a:schemeClr val="bg1"/>
                </a:solidFill>
              </a:ln>
            </c:spPr>
          </c:dPt>
          <c:dPt>
            <c:idx val="4"/>
            <c:bubble3D val="0"/>
            <c:spPr>
              <a:solidFill>
                <a:srgbClr val="CC3300"/>
              </a:solidFill>
              <a:ln>
                <a:solidFill>
                  <a:schemeClr val="bg1"/>
                </a:solidFill>
              </a:ln>
            </c:spPr>
          </c:dPt>
          <c:dPt>
            <c:idx val="5"/>
            <c:bubble3D val="0"/>
            <c:spPr>
              <a:solidFill>
                <a:srgbClr val="FF0000"/>
              </a:solidFill>
              <a:ln>
                <a:solidFill>
                  <a:schemeClr val="bg1"/>
                </a:solidFill>
              </a:ln>
            </c:spPr>
          </c:dPt>
          <c:dPt>
            <c:idx val="6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</c:spPr>
          </c:dPt>
          <c:dPt>
            <c:idx val="7"/>
            <c:bubble3D val="0"/>
            <c:spPr>
              <a:solidFill>
                <a:srgbClr val="00FF00"/>
              </a:solidFill>
              <a:ln>
                <a:solidFill>
                  <a:schemeClr val="bg1"/>
                </a:solidFill>
              </a:ln>
            </c:spPr>
          </c:dPt>
          <c:dPt>
            <c:idx val="8"/>
            <c:bubble3D val="0"/>
            <c:spPr>
              <a:solidFill>
                <a:srgbClr val="00FF00"/>
              </a:solidFill>
              <a:ln>
                <a:solidFill>
                  <a:schemeClr val="bg1"/>
                </a:solidFill>
              </a:ln>
            </c:spPr>
          </c:dPt>
          <c:dPt>
            <c:idx val="9"/>
            <c:bubble3D val="0"/>
            <c:spPr>
              <a:solidFill>
                <a:srgbClr val="00FF00"/>
              </a:solidFill>
              <a:ln>
                <a:solidFill>
                  <a:schemeClr val="bg1"/>
                </a:solidFill>
              </a:ln>
            </c:spPr>
          </c:dPt>
          <c:dPt>
            <c:idx val="10"/>
            <c:bubble3D val="0"/>
            <c:spPr>
              <a:solidFill>
                <a:srgbClr val="00FF00"/>
              </a:solidFill>
              <a:ln>
                <a:solidFill>
                  <a:schemeClr val="bg1"/>
                </a:solidFill>
              </a:ln>
            </c:spPr>
          </c:dPt>
          <c:dPt>
            <c:idx val="11"/>
            <c:bubble3D val="0"/>
            <c:spPr>
              <a:solidFill>
                <a:srgbClr val="00FF00"/>
              </a:solidFill>
              <a:ln>
                <a:solidFill>
                  <a:schemeClr val="bg1"/>
                </a:solidFill>
              </a:ln>
            </c:spPr>
          </c:dPt>
          <c:dPt>
            <c:idx val="12"/>
            <c:bubble3D val="0"/>
            <c:spPr>
              <a:solidFill>
                <a:srgbClr val="00FF00"/>
              </a:solidFill>
              <a:ln>
                <a:solidFill>
                  <a:schemeClr val="bg1"/>
                </a:solidFill>
              </a:ln>
            </c:spPr>
          </c:dPt>
          <c:dPt>
            <c:idx val="13"/>
            <c:bubble3D val="0"/>
            <c:spPr>
              <a:solidFill>
                <a:srgbClr val="00FF00"/>
              </a:solidFill>
              <a:ln>
                <a:solidFill>
                  <a:schemeClr val="bg1"/>
                </a:solidFill>
              </a:ln>
            </c:spPr>
          </c:dPt>
          <c:dPt>
            <c:idx val="14"/>
            <c:bubble3D val="0"/>
            <c:spPr>
              <a:solidFill>
                <a:srgbClr val="00FF00"/>
              </a:solidFill>
              <a:ln>
                <a:solidFill>
                  <a:schemeClr val="bg1"/>
                </a:solidFill>
              </a:ln>
            </c:spPr>
          </c:dPt>
          <c:dPt>
            <c:idx val="15"/>
            <c:bubble3D val="0"/>
            <c:spPr>
              <a:solidFill>
                <a:srgbClr val="00FF00"/>
              </a:solidFill>
              <a:ln>
                <a:solidFill>
                  <a:schemeClr val="bg1"/>
                </a:solidFill>
              </a:ln>
            </c:spPr>
          </c:dPt>
          <c:dLbls>
            <c:dLbl>
              <c:idx val="0"/>
              <c:layout>
                <c:manualLayout>
                  <c:x val="4.4931195127334888E-3"/>
                  <c:y val="3.153153153153154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2"/>
              <c:layout>
                <c:manualLayout>
                  <c:x val="2.5461162139487247E-2"/>
                  <c:y val="-2.555180779927817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3"/>
              <c:layout>
                <c:manualLayout>
                  <c:x val="-5.5350352477147001E-3"/>
                  <c:y val="1.953961772885969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4"/>
              <c:layout>
                <c:manualLayout>
                  <c:x val="-0.10073772867431548"/>
                  <c:y val="-1.05214509734302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5"/>
              <c:layout>
                <c:manualLayout>
                  <c:x val="0"/>
                  <c:y val="-9.0182851056275527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6"/>
              <c:layout>
                <c:manualLayout>
                  <c:x val="7.749049346800466E-3"/>
                  <c:y val="-6.0431978223563524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7"/>
              <c:layout>
                <c:manualLayout>
                  <c:x val="-1.3072184268732499E-2"/>
                  <c:y val="4.353547547192141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8"/>
              <c:layout>
                <c:manualLayout>
                  <c:x val="-9.0985758580089324E-2"/>
                  <c:y val="4.954954954954955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9"/>
              <c:layout>
                <c:manualLayout>
                  <c:x val="-3.1451836589135002E-2"/>
                  <c:y val="3.45345345345345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0"/>
              <c:layout>
                <c:manualLayout>
                  <c:x val="4.7177754883702502E-2"/>
                  <c:y val="0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1"/>
              <c:layout>
                <c:manualLayout>
                  <c:x val="0.21791629636757823"/>
                  <c:y val="3.003003003003003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numFmt formatCode="0.0%" sourceLinked="0"/>
            <c:txPr>
              <a:bodyPr/>
              <a:lstStyle/>
              <a:p>
                <a:pPr>
                  <a:defRPr sz="1800"/>
                </a:pPr>
                <a:endParaRPr lang="zh-TW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Surgery手術數!$A$90:$A$97</c:f>
              <c:strCache>
                <c:ptCount val="8"/>
                <c:pt idx="0">
                  <c:v>Non-Malignant Meningioma</c:v>
                </c:pt>
                <c:pt idx="1">
                  <c:v>Non-Malignant Pituitary tumors</c:v>
                </c:pt>
                <c:pt idx="2">
                  <c:v>All Other Non-Malignant tumors</c:v>
                </c:pt>
                <c:pt idx="3">
                  <c:v>Non-Malignant Schwannoma</c:v>
                </c:pt>
                <c:pt idx="4">
                  <c:v>Glioblastoma and Malignant Grade 4 Glioma</c:v>
                </c:pt>
                <c:pt idx="5">
                  <c:v>All Other Glioma</c:v>
                </c:pt>
                <c:pt idx="6">
                  <c:v>All Other Malignant tumors</c:v>
                </c:pt>
                <c:pt idx="7">
                  <c:v>Metastatic tumors</c:v>
                </c:pt>
              </c:strCache>
            </c:strRef>
          </c:cat>
          <c:val>
            <c:numRef>
              <c:f>Surgery手術數!$B$90:$B$97</c:f>
              <c:numCache>
                <c:formatCode>General</c:formatCode>
                <c:ptCount val="8"/>
                <c:pt idx="0">
                  <c:v>682</c:v>
                </c:pt>
                <c:pt idx="1">
                  <c:v>546</c:v>
                </c:pt>
                <c:pt idx="2">
                  <c:v>161</c:v>
                </c:pt>
                <c:pt idx="3">
                  <c:v>124</c:v>
                </c:pt>
                <c:pt idx="4">
                  <c:v>543</c:v>
                </c:pt>
                <c:pt idx="5">
                  <c:v>363</c:v>
                </c:pt>
                <c:pt idx="6">
                  <c:v>271</c:v>
                </c:pt>
                <c:pt idx="7">
                  <c:v>619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9771723331498473E-2"/>
          <c:y val="2.045541299113092E-2"/>
          <c:w val="0.90498019195490254"/>
          <c:h val="0.7069595685592576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Surgery手術數!$A$139</c:f>
              <c:strCache>
                <c:ptCount val="1"/>
                <c:pt idx="0">
                  <c:v>Brain tumor resection, size ≤3cm)</c:v>
                </c:pt>
              </c:strCache>
            </c:strRef>
          </c:tx>
          <c:invertIfNegative val="0"/>
          <c:cat>
            <c:strRef>
              <c:f>Surgery手術數!$B$138:$F$138</c:f>
              <c:strCache>
                <c:ptCount val="5"/>
                <c:pt idx="0">
                  <c:v>Aug 2020-Jul 2021</c:v>
                </c:pt>
                <c:pt idx="1">
                  <c:v>Aug 2021-Jul 2022</c:v>
                </c:pt>
                <c:pt idx="2">
                  <c:v>Aug 2022-Jul 2023</c:v>
                </c:pt>
                <c:pt idx="3">
                  <c:v>Aug 2023-Jul 2024</c:v>
                </c:pt>
                <c:pt idx="4">
                  <c:v>Aug 2024-Jul 2025</c:v>
                </c:pt>
              </c:strCache>
            </c:strRef>
          </c:cat>
          <c:val>
            <c:numRef>
              <c:f>Surgery手術數!$B$139:$F$139</c:f>
              <c:numCache>
                <c:formatCode>General</c:formatCode>
                <c:ptCount val="5"/>
                <c:pt idx="0">
                  <c:v>71</c:v>
                </c:pt>
                <c:pt idx="1">
                  <c:v>72</c:v>
                </c:pt>
                <c:pt idx="2">
                  <c:v>85</c:v>
                </c:pt>
                <c:pt idx="3">
                  <c:v>103</c:v>
                </c:pt>
                <c:pt idx="4">
                  <c:v>105</c:v>
                </c:pt>
              </c:numCache>
            </c:numRef>
          </c:val>
        </c:ser>
        <c:ser>
          <c:idx val="1"/>
          <c:order val="1"/>
          <c:tx>
            <c:strRef>
              <c:f>Surgery手術數!$A$140</c:f>
              <c:strCache>
                <c:ptCount val="1"/>
                <c:pt idx="0">
                  <c:v>Brain tumor resection, size 3.1-6cm</c:v>
                </c:pt>
              </c:strCache>
            </c:strRef>
          </c:tx>
          <c:invertIfNegative val="0"/>
          <c:cat>
            <c:strRef>
              <c:f>Surgery手術數!$B$138:$F$138</c:f>
              <c:strCache>
                <c:ptCount val="5"/>
                <c:pt idx="0">
                  <c:v>Aug 2020-Jul 2021</c:v>
                </c:pt>
                <c:pt idx="1">
                  <c:v>Aug 2021-Jul 2022</c:v>
                </c:pt>
                <c:pt idx="2">
                  <c:v>Aug 2022-Jul 2023</c:v>
                </c:pt>
                <c:pt idx="3">
                  <c:v>Aug 2023-Jul 2024</c:v>
                </c:pt>
                <c:pt idx="4">
                  <c:v>Aug 2024-Jul 2025</c:v>
                </c:pt>
              </c:strCache>
            </c:strRef>
          </c:cat>
          <c:val>
            <c:numRef>
              <c:f>Surgery手術數!$B$140:$F$140</c:f>
              <c:numCache>
                <c:formatCode>General</c:formatCode>
                <c:ptCount val="5"/>
                <c:pt idx="0">
                  <c:v>201</c:v>
                </c:pt>
                <c:pt idx="1">
                  <c:v>237</c:v>
                </c:pt>
                <c:pt idx="2">
                  <c:v>254</c:v>
                </c:pt>
                <c:pt idx="3">
                  <c:v>291</c:v>
                </c:pt>
                <c:pt idx="4">
                  <c:v>260</c:v>
                </c:pt>
              </c:numCache>
            </c:numRef>
          </c:val>
        </c:ser>
        <c:ser>
          <c:idx val="2"/>
          <c:order val="2"/>
          <c:tx>
            <c:strRef>
              <c:f>Surgery手術數!$A$141</c:f>
              <c:strCache>
                <c:ptCount val="1"/>
                <c:pt idx="0">
                  <c:v>Brain tumor resection, size &gt;6cm</c:v>
                </c:pt>
              </c:strCache>
            </c:strRef>
          </c:tx>
          <c:invertIfNegative val="0"/>
          <c:cat>
            <c:strRef>
              <c:f>Surgery手術數!$B$138:$F$138</c:f>
              <c:strCache>
                <c:ptCount val="5"/>
                <c:pt idx="0">
                  <c:v>Aug 2020-Jul 2021</c:v>
                </c:pt>
                <c:pt idx="1">
                  <c:v>Aug 2021-Jul 2022</c:v>
                </c:pt>
                <c:pt idx="2">
                  <c:v>Aug 2022-Jul 2023</c:v>
                </c:pt>
                <c:pt idx="3">
                  <c:v>Aug 2023-Jul 2024</c:v>
                </c:pt>
                <c:pt idx="4">
                  <c:v>Aug 2024-Jul 2025</c:v>
                </c:pt>
              </c:strCache>
            </c:strRef>
          </c:cat>
          <c:val>
            <c:numRef>
              <c:f>Surgery手術數!$B$141:$F$141</c:f>
              <c:numCache>
                <c:formatCode>General</c:formatCode>
                <c:ptCount val="5"/>
                <c:pt idx="0">
                  <c:v>86</c:v>
                </c:pt>
                <c:pt idx="1">
                  <c:v>103</c:v>
                </c:pt>
                <c:pt idx="2">
                  <c:v>110</c:v>
                </c:pt>
                <c:pt idx="3">
                  <c:v>103</c:v>
                </c:pt>
                <c:pt idx="4">
                  <c:v>139</c:v>
                </c:pt>
              </c:numCache>
            </c:numRef>
          </c:val>
        </c:ser>
        <c:ser>
          <c:idx val="3"/>
          <c:order val="3"/>
          <c:tx>
            <c:strRef>
              <c:f>Surgery手術數!$A$142</c:f>
              <c:strCache>
                <c:ptCount val="1"/>
                <c:pt idx="0">
                  <c:v>Transsphenoidal removal of pituitary tumors</c:v>
                </c:pt>
              </c:strCache>
            </c:strRef>
          </c:tx>
          <c:invertIfNegative val="0"/>
          <c:cat>
            <c:strRef>
              <c:f>Surgery手術數!$B$138:$F$138</c:f>
              <c:strCache>
                <c:ptCount val="5"/>
                <c:pt idx="0">
                  <c:v>Aug 2020-Jul 2021</c:v>
                </c:pt>
                <c:pt idx="1">
                  <c:v>Aug 2021-Jul 2022</c:v>
                </c:pt>
                <c:pt idx="2">
                  <c:v>Aug 2022-Jul 2023</c:v>
                </c:pt>
                <c:pt idx="3">
                  <c:v>Aug 2023-Jul 2024</c:v>
                </c:pt>
                <c:pt idx="4">
                  <c:v>Aug 2024-Jul 2025</c:v>
                </c:pt>
              </c:strCache>
            </c:strRef>
          </c:cat>
          <c:val>
            <c:numRef>
              <c:f>Surgery手術數!$B$142:$F$142</c:f>
              <c:numCache>
                <c:formatCode>General</c:formatCode>
                <c:ptCount val="5"/>
                <c:pt idx="0">
                  <c:v>94</c:v>
                </c:pt>
                <c:pt idx="1">
                  <c:v>124</c:v>
                </c:pt>
                <c:pt idx="2">
                  <c:v>116</c:v>
                </c:pt>
                <c:pt idx="3">
                  <c:v>102</c:v>
                </c:pt>
                <c:pt idx="4">
                  <c:v>114</c:v>
                </c:pt>
              </c:numCache>
            </c:numRef>
          </c:val>
        </c:ser>
        <c:ser>
          <c:idx val="4"/>
          <c:order val="4"/>
          <c:tx>
            <c:strRef>
              <c:f>Surgery手術數!$A$143</c:f>
              <c:strCache>
                <c:ptCount val="1"/>
                <c:pt idx="0">
                  <c:v>Skull base tumor surgery</c:v>
                </c:pt>
              </c:strCache>
            </c:strRef>
          </c:tx>
          <c:invertIfNegative val="0"/>
          <c:cat>
            <c:strRef>
              <c:f>Surgery手術數!$B$138:$F$138</c:f>
              <c:strCache>
                <c:ptCount val="5"/>
                <c:pt idx="0">
                  <c:v>Aug 2020-Jul 2021</c:v>
                </c:pt>
                <c:pt idx="1">
                  <c:v>Aug 2021-Jul 2022</c:v>
                </c:pt>
                <c:pt idx="2">
                  <c:v>Aug 2022-Jul 2023</c:v>
                </c:pt>
                <c:pt idx="3">
                  <c:v>Aug 2023-Jul 2024</c:v>
                </c:pt>
                <c:pt idx="4">
                  <c:v>Aug 2024-Jul 2025</c:v>
                </c:pt>
              </c:strCache>
            </c:strRef>
          </c:cat>
          <c:val>
            <c:numRef>
              <c:f>Surgery手術數!$B$143:$F$143</c:f>
              <c:numCache>
                <c:formatCode>General</c:formatCode>
                <c:ptCount val="5"/>
                <c:pt idx="0">
                  <c:v>90</c:v>
                </c:pt>
                <c:pt idx="1">
                  <c:v>73</c:v>
                </c:pt>
                <c:pt idx="2">
                  <c:v>74</c:v>
                </c:pt>
                <c:pt idx="3">
                  <c:v>93</c:v>
                </c:pt>
                <c:pt idx="4">
                  <c:v>92</c:v>
                </c:pt>
              </c:numCache>
            </c:numRef>
          </c:val>
        </c:ser>
        <c:ser>
          <c:idx val="5"/>
          <c:order val="5"/>
          <c:tx>
            <c:strRef>
              <c:f>Surgery手術數!$A$144</c:f>
              <c:strCache>
                <c:ptCount val="1"/>
                <c:pt idx="0">
                  <c:v>Biopsy</c:v>
                </c:pt>
              </c:strCache>
            </c:strRef>
          </c:tx>
          <c:invertIfNegative val="0"/>
          <c:cat>
            <c:strRef>
              <c:f>Surgery手術數!$B$138:$F$138</c:f>
              <c:strCache>
                <c:ptCount val="5"/>
                <c:pt idx="0">
                  <c:v>Aug 2020-Jul 2021</c:v>
                </c:pt>
                <c:pt idx="1">
                  <c:v>Aug 2021-Jul 2022</c:v>
                </c:pt>
                <c:pt idx="2">
                  <c:v>Aug 2022-Jul 2023</c:v>
                </c:pt>
                <c:pt idx="3">
                  <c:v>Aug 2023-Jul 2024</c:v>
                </c:pt>
                <c:pt idx="4">
                  <c:v>Aug 2024-Jul 2025</c:v>
                </c:pt>
              </c:strCache>
            </c:strRef>
          </c:cat>
          <c:val>
            <c:numRef>
              <c:f>Surgery手術數!$B$144:$F$144</c:f>
              <c:numCache>
                <c:formatCode>General</c:formatCode>
                <c:ptCount val="5"/>
                <c:pt idx="0">
                  <c:v>23</c:v>
                </c:pt>
                <c:pt idx="1">
                  <c:v>21</c:v>
                </c:pt>
                <c:pt idx="2">
                  <c:v>20</c:v>
                </c:pt>
                <c:pt idx="3">
                  <c:v>28</c:v>
                </c:pt>
                <c:pt idx="4">
                  <c:v>25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4"/>
        <c:overlap val="100"/>
        <c:axId val="77495296"/>
        <c:axId val="593400320"/>
      </c:barChart>
      <c:catAx>
        <c:axId val="77495296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sz="1500"/>
            </a:pPr>
            <a:endParaRPr lang="zh-TW"/>
          </a:p>
        </c:txPr>
        <c:crossAx val="593400320"/>
        <c:crosses val="autoZero"/>
        <c:auto val="1"/>
        <c:lblAlgn val="ctr"/>
        <c:lblOffset val="100"/>
        <c:noMultiLvlLbl val="0"/>
      </c:catAx>
      <c:valAx>
        <c:axId val="593400320"/>
        <c:scaling>
          <c:orientation val="minMax"/>
          <c:max val="800"/>
          <c:min val="0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zh-TW"/>
          </a:p>
        </c:txPr>
        <c:crossAx val="77495296"/>
        <c:crosses val="autoZero"/>
        <c:crossBetween val="between"/>
        <c:majorUnit val="200"/>
      </c:valAx>
      <c:spPr>
        <a:noFill/>
      </c:spPr>
    </c:plotArea>
    <c:legend>
      <c:legendPos val="b"/>
      <c:layout>
        <c:manualLayout>
          <c:xMode val="edge"/>
          <c:yMode val="edge"/>
          <c:x val="1.7051285154806927E-2"/>
          <c:y val="0.81949099741400788"/>
          <c:w val="0.97387393052870219"/>
          <c:h val="0.16717104166679111"/>
        </c:manualLayout>
      </c:layout>
      <c:overlay val="0"/>
      <c:txPr>
        <a:bodyPr/>
        <a:lstStyle/>
        <a:p>
          <a:pPr>
            <a:defRPr sz="1500"/>
          </a:pPr>
          <a:endParaRPr lang="zh-TW"/>
        </a:p>
      </c:txPr>
    </c:legend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2875 Patients</a:t>
            </a:r>
            <a:endParaRPr lang="zh-TW" altLang="en-US"/>
          </a:p>
        </c:rich>
      </c:tx>
      <c:layout>
        <c:manualLayout>
          <c:xMode val="edge"/>
          <c:yMode val="edge"/>
          <c:x val="2.1618361504367186E-2"/>
          <c:y val="1.492799886500673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4524194564103726"/>
          <c:y val="4.9045186919202677E-2"/>
          <c:w val="0.6544754831341737"/>
          <c:h val="0.87484512071126241"/>
        </c:manualLayout>
      </c:layout>
      <c:pieChart>
        <c:varyColors val="1"/>
        <c:ser>
          <c:idx val="0"/>
          <c:order val="0"/>
          <c:tx>
            <c:strRef>
              <c:f>Patient病人數!$B$28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rgbClr val="00FF00"/>
              </a:solidFill>
              <a:ln>
                <a:solidFill>
                  <a:schemeClr val="bg1"/>
                </a:solidFill>
              </a:ln>
            </c:spPr>
          </c:dPt>
          <c:dPt>
            <c:idx val="1"/>
            <c:bubble3D val="0"/>
            <c:spPr>
              <a:solidFill>
                <a:srgbClr val="000066"/>
              </a:solidFill>
              <a:ln>
                <a:solidFill>
                  <a:schemeClr val="bg1"/>
                </a:solidFill>
              </a:ln>
            </c:spPr>
          </c:dPt>
          <c:dPt>
            <c:idx val="2"/>
            <c:bubble3D val="0"/>
            <c:spPr>
              <a:solidFill>
                <a:srgbClr val="FFC000"/>
              </a:solidFill>
              <a:ln>
                <a:solidFill>
                  <a:schemeClr val="bg1"/>
                </a:solidFill>
              </a:ln>
            </c:spPr>
          </c:dPt>
          <c:dPt>
            <c:idx val="3"/>
            <c:bubble3D val="0"/>
            <c:spPr>
              <a:solidFill>
                <a:srgbClr val="FF0000"/>
              </a:solidFill>
              <a:ln>
                <a:solidFill>
                  <a:schemeClr val="bg1"/>
                </a:solidFill>
              </a:ln>
            </c:spPr>
          </c:dPt>
          <c:dPt>
            <c:idx val="4"/>
            <c:bubble3D val="0"/>
            <c:spPr>
              <a:solidFill>
                <a:srgbClr val="6600CC"/>
              </a:solidFill>
              <a:ln>
                <a:solidFill>
                  <a:schemeClr val="bg1"/>
                </a:solidFill>
              </a:ln>
            </c:spPr>
          </c:dPt>
          <c:dPt>
            <c:idx val="5"/>
            <c:bubble3D val="0"/>
            <c:spPr>
              <a:solidFill>
                <a:srgbClr val="0070C0"/>
              </a:solidFill>
              <a:ln>
                <a:solidFill>
                  <a:schemeClr val="bg1"/>
                </a:solidFill>
              </a:ln>
            </c:spPr>
          </c:dPt>
          <c:dPt>
            <c:idx val="6"/>
            <c:bubble3D val="0"/>
            <c:spPr>
              <a:solidFill>
                <a:schemeClr val="bg1"/>
              </a:solidFill>
              <a:ln>
                <a:solidFill>
                  <a:schemeClr val="bg1"/>
                </a:solidFill>
              </a:ln>
            </c:spPr>
          </c:dPt>
          <c:dPt>
            <c:idx val="7"/>
            <c:bubble3D val="0"/>
            <c:spPr>
              <a:solidFill>
                <a:schemeClr val="accent3">
                  <a:lumMod val="75000"/>
                </a:schemeClr>
              </a:solidFill>
              <a:ln>
                <a:solidFill>
                  <a:schemeClr val="bg1"/>
                </a:solidFill>
              </a:ln>
            </c:spPr>
          </c:dPt>
          <c:dPt>
            <c:idx val="8"/>
            <c:bubble3D val="0"/>
            <c:spPr>
              <a:solidFill>
                <a:schemeClr val="bg1">
                  <a:lumMod val="50000"/>
                </a:schemeClr>
              </a:solidFill>
              <a:ln>
                <a:solidFill>
                  <a:schemeClr val="bg1"/>
                </a:solidFill>
              </a:ln>
            </c:spPr>
          </c:dPt>
          <c:dPt>
            <c:idx val="9"/>
            <c:bubble3D val="0"/>
            <c:spPr>
              <a:solidFill>
                <a:schemeClr val="bg2">
                  <a:lumMod val="50000"/>
                </a:schemeClr>
              </a:solidFill>
              <a:ln>
                <a:solidFill>
                  <a:schemeClr val="bg1"/>
                </a:solidFill>
              </a:ln>
            </c:spPr>
          </c:dPt>
          <c:dPt>
            <c:idx val="10"/>
            <c:bubble3D val="0"/>
            <c:spPr>
              <a:solidFill>
                <a:srgbClr val="00CCFF"/>
              </a:solidFill>
              <a:ln>
                <a:solidFill>
                  <a:schemeClr val="bg1"/>
                </a:solidFill>
              </a:ln>
            </c:spPr>
          </c:dPt>
          <c:dPt>
            <c:idx val="11"/>
            <c:bubble3D val="0"/>
            <c:spPr>
              <a:solidFill>
                <a:schemeClr val="accent6">
                  <a:lumMod val="75000"/>
                </a:schemeClr>
              </a:solidFill>
              <a:ln>
                <a:solidFill>
                  <a:schemeClr val="bg1"/>
                </a:solidFill>
              </a:ln>
            </c:spPr>
          </c:dPt>
          <c:dPt>
            <c:idx val="12"/>
            <c:bubble3D val="0"/>
            <c:spPr>
              <a:solidFill>
                <a:srgbClr val="FFFF00"/>
              </a:solidFill>
              <a:ln>
                <a:solidFill>
                  <a:schemeClr val="bg1"/>
                </a:solidFill>
              </a:ln>
            </c:spPr>
          </c:dPt>
          <c:dPt>
            <c:idx val="1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</c:spPr>
          </c:dPt>
          <c:dPt>
            <c:idx val="14"/>
            <c:bubble3D val="0"/>
            <c:spPr>
              <a:solidFill>
                <a:srgbClr val="FF66FF"/>
              </a:solidFill>
              <a:ln>
                <a:solidFill>
                  <a:schemeClr val="bg1"/>
                </a:solidFill>
              </a:ln>
            </c:spPr>
          </c:dPt>
          <c:dPt>
            <c:idx val="15"/>
            <c:bubble3D val="0"/>
            <c:spPr>
              <a:solidFill>
                <a:schemeClr val="accent4">
                  <a:lumMod val="75000"/>
                </a:schemeClr>
              </a:solidFill>
              <a:ln>
                <a:solidFill>
                  <a:schemeClr val="bg1"/>
                </a:solidFill>
              </a:ln>
            </c:spPr>
          </c:dPt>
          <c:dLbls>
            <c:dLbl>
              <c:idx val="0"/>
              <c:layout>
                <c:manualLayout>
                  <c:x val="4.4931195127334888E-3"/>
                  <c:y val="3.153153153153154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6"/>
              <c:layout>
                <c:manualLayout>
                  <c:x val="0"/>
                  <c:y val="3.00300300300300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7"/>
              <c:layout>
                <c:manualLayout>
                  <c:x val="-6.1780393300086597E-2"/>
                  <c:y val="5.105093282258636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8"/>
              <c:layout>
                <c:manualLayout>
                  <c:x val="-9.0985758580089324E-2"/>
                  <c:y val="4.954954954954955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9"/>
              <c:layout>
                <c:manualLayout>
                  <c:x val="-3.1451836589135002E-2"/>
                  <c:y val="3.45345345345345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0"/>
              <c:layout>
                <c:manualLayout>
                  <c:x val="4.7177754883702502E-2"/>
                  <c:y val="0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1"/>
              <c:layout>
                <c:manualLayout>
                  <c:x val="0.21791629636757823"/>
                  <c:y val="3.003003003003003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numFmt formatCode="0.0%" sourceLinked="0"/>
            <c:txPr>
              <a:bodyPr/>
              <a:lstStyle/>
              <a:p>
                <a:pPr>
                  <a:defRPr sz="1400"/>
                </a:pPr>
                <a:endParaRPr lang="zh-TW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Patient病人數!$A$29:$A$44</c:f>
              <c:strCache>
                <c:ptCount val="16"/>
                <c:pt idx="0">
                  <c:v>Meningioma, grade 1-2</c:v>
                </c:pt>
                <c:pt idx="1">
                  <c:v>Metastatic tumors</c:v>
                </c:pt>
                <c:pt idx="2">
                  <c:v>Pituitary tumors</c:v>
                </c:pt>
                <c:pt idx="3">
                  <c:v>Diffuse glioma, grade 4</c:v>
                </c:pt>
                <c:pt idx="4">
                  <c:v>Other benign tumors</c:v>
                </c:pt>
                <c:pt idx="5">
                  <c:v>Diffuse glioma, low-grade</c:v>
                </c:pt>
                <c:pt idx="6">
                  <c:v>Schwannoma</c:v>
                </c:pt>
                <c:pt idx="7">
                  <c:v>Diffuse glioma, grade 3</c:v>
                </c:pt>
                <c:pt idx="8">
                  <c:v>Lymphoma</c:v>
                </c:pt>
                <c:pt idx="9">
                  <c:v>Other malignant tumors</c:v>
                </c:pt>
                <c:pt idx="10">
                  <c:v>Neuronal and mixed neuronal-glial tumors</c:v>
                </c:pt>
                <c:pt idx="11">
                  <c:v>Germ cell tumors</c:v>
                </c:pt>
                <c:pt idx="12">
                  <c:v>Ependymal tumors</c:v>
                </c:pt>
                <c:pt idx="13">
                  <c:v>Meningioma, grade 3</c:v>
                </c:pt>
                <c:pt idx="14">
                  <c:v>Other astrocytic glioma</c:v>
                </c:pt>
                <c:pt idx="15">
                  <c:v>Embryonal tumors</c:v>
                </c:pt>
              </c:strCache>
            </c:strRef>
          </c:cat>
          <c:val>
            <c:numRef>
              <c:f>Patient病人數!$B$29:$B$44</c:f>
              <c:numCache>
                <c:formatCode>General</c:formatCode>
                <c:ptCount val="16"/>
                <c:pt idx="0">
                  <c:v>656</c:v>
                </c:pt>
                <c:pt idx="1">
                  <c:v>562</c:v>
                </c:pt>
                <c:pt idx="2">
                  <c:v>520</c:v>
                </c:pt>
                <c:pt idx="3">
                  <c:v>368</c:v>
                </c:pt>
                <c:pt idx="4">
                  <c:v>148</c:v>
                </c:pt>
                <c:pt idx="5">
                  <c:v>134</c:v>
                </c:pt>
                <c:pt idx="6">
                  <c:v>122</c:v>
                </c:pt>
                <c:pt idx="7">
                  <c:v>98</c:v>
                </c:pt>
                <c:pt idx="8">
                  <c:v>84</c:v>
                </c:pt>
                <c:pt idx="9">
                  <c:v>45</c:v>
                </c:pt>
                <c:pt idx="10">
                  <c:v>37</c:v>
                </c:pt>
                <c:pt idx="11">
                  <c:v>24</c:v>
                </c:pt>
                <c:pt idx="12">
                  <c:v>21</c:v>
                </c:pt>
                <c:pt idx="13">
                  <c:v>20</c:v>
                </c:pt>
                <c:pt idx="14">
                  <c:v>19</c:v>
                </c:pt>
                <c:pt idx="15">
                  <c:v>17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1549 Females</a:t>
            </a:r>
            <a:endParaRPr lang="zh-TW" altLang="en-US"/>
          </a:p>
        </c:rich>
      </c:tx>
      <c:layout>
        <c:manualLayout>
          <c:xMode val="edge"/>
          <c:yMode val="edge"/>
          <c:x val="2.1618361504367186E-2"/>
          <c:y val="1.492799886500673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4524194564103726"/>
          <c:y val="4.9045186919202677E-2"/>
          <c:w val="0.6544754831341737"/>
          <c:h val="0.87484512071126241"/>
        </c:manualLayout>
      </c:layout>
      <c:pieChart>
        <c:varyColors val="1"/>
        <c:ser>
          <c:idx val="0"/>
          <c:order val="0"/>
          <c:tx>
            <c:strRef>
              <c:f>Patient病人數!$F$28</c:f>
              <c:strCache>
                <c:ptCount val="1"/>
                <c:pt idx="0">
                  <c:v>Female</c:v>
                </c:pt>
              </c:strCache>
            </c:strRef>
          </c:tx>
          <c:spPr>
            <a:ln>
              <a:solidFill>
                <a:schemeClr val="bg1"/>
              </a:solidFill>
            </a:ln>
            <a:effectLst>
              <a:outerShdw dist="35921" dir="2700000" algn="br">
                <a:srgbClr val="000000"/>
              </a:outerShdw>
            </a:effectLst>
          </c:spPr>
          <c:dPt>
            <c:idx val="0"/>
            <c:bubble3D val="0"/>
            <c:spPr>
              <a:solidFill>
                <a:srgbClr val="00FF00"/>
              </a:solidFill>
              <a:ln>
                <a:solidFill>
                  <a:schemeClr val="bg1"/>
                </a:solidFill>
              </a:ln>
              <a:effectLst>
                <a:outerShdw dist="35921" dir="2700000" algn="br">
                  <a:srgbClr val="000000"/>
                </a:outerShdw>
              </a:effectLst>
            </c:spPr>
          </c:dPt>
          <c:dPt>
            <c:idx val="1"/>
            <c:bubble3D val="0"/>
            <c:spPr>
              <a:solidFill>
                <a:srgbClr val="000066"/>
              </a:solidFill>
              <a:ln>
                <a:solidFill>
                  <a:schemeClr val="bg1"/>
                </a:solidFill>
              </a:ln>
              <a:effectLst>
                <a:outerShdw dist="35921" dir="2700000" algn="br">
                  <a:srgbClr val="000000"/>
                </a:outerShdw>
              </a:effectLst>
            </c:spPr>
          </c:dPt>
          <c:dPt>
            <c:idx val="2"/>
            <c:bubble3D val="0"/>
            <c:spPr>
              <a:solidFill>
                <a:srgbClr val="FFC000"/>
              </a:solidFill>
              <a:ln>
                <a:solidFill>
                  <a:schemeClr val="bg1"/>
                </a:solidFill>
              </a:ln>
              <a:effectLst>
                <a:outerShdw dist="35921" dir="2700000" algn="br">
                  <a:srgbClr val="000000"/>
                </a:outerShdw>
              </a:effectLst>
            </c:spPr>
          </c:dPt>
          <c:dPt>
            <c:idx val="3"/>
            <c:bubble3D val="0"/>
            <c:spPr>
              <a:solidFill>
                <a:srgbClr val="FF0000"/>
              </a:solidFill>
              <a:ln>
                <a:solidFill>
                  <a:schemeClr val="bg1"/>
                </a:solidFill>
              </a:ln>
              <a:effectLst>
                <a:outerShdw dist="35921" dir="2700000" algn="br">
                  <a:srgbClr val="000000"/>
                </a:outerShdw>
              </a:effectLst>
            </c:spPr>
          </c:dPt>
          <c:dPt>
            <c:idx val="4"/>
            <c:bubble3D val="0"/>
            <c:spPr>
              <a:solidFill>
                <a:srgbClr val="0070C0"/>
              </a:solidFill>
              <a:ln>
                <a:solidFill>
                  <a:schemeClr val="bg1"/>
                </a:solidFill>
              </a:ln>
              <a:effectLst>
                <a:outerShdw dist="35921" dir="2700000" algn="br">
                  <a:srgbClr val="000000"/>
                </a:outerShdw>
              </a:effectLst>
            </c:spPr>
          </c:dPt>
          <c:dPt>
            <c:idx val="5"/>
            <c:bubble3D val="0"/>
            <c:spPr>
              <a:solidFill>
                <a:sysClr val="window" lastClr="FFFFFF"/>
              </a:solidFill>
              <a:ln>
                <a:solidFill>
                  <a:schemeClr val="bg1"/>
                </a:solidFill>
              </a:ln>
              <a:effectLst>
                <a:outerShdw dist="35921" dir="2700000" algn="br">
                  <a:srgbClr val="000000"/>
                </a:outerShdw>
              </a:effectLst>
            </c:spPr>
          </c:dPt>
          <c:dPt>
            <c:idx val="6"/>
            <c:bubble3D val="0"/>
            <c:spPr>
              <a:solidFill>
                <a:srgbClr val="6600CC"/>
              </a:solidFill>
              <a:ln>
                <a:solidFill>
                  <a:schemeClr val="bg1"/>
                </a:solidFill>
              </a:ln>
              <a:effectLst>
                <a:outerShdw dist="35921" dir="2700000" algn="br">
                  <a:srgbClr val="000000"/>
                </a:outerShdw>
              </a:effectLst>
            </c:spPr>
          </c:dPt>
          <c:dPt>
            <c:idx val="7"/>
            <c:bubble3D val="0"/>
            <c:spPr>
              <a:solidFill>
                <a:schemeClr val="bg1">
                  <a:lumMod val="50000"/>
                </a:schemeClr>
              </a:solidFill>
              <a:ln>
                <a:solidFill>
                  <a:schemeClr val="bg1"/>
                </a:solidFill>
              </a:ln>
              <a:effectLst>
                <a:outerShdw dist="35921" dir="2700000" algn="br">
                  <a:srgbClr val="000000"/>
                </a:outerShdw>
              </a:effectLst>
            </c:spPr>
          </c:dPt>
          <c:dPt>
            <c:idx val="8"/>
            <c:bubble3D val="0"/>
            <c:spPr>
              <a:solidFill>
                <a:schemeClr val="accent3">
                  <a:lumMod val="75000"/>
                </a:schemeClr>
              </a:solidFill>
              <a:ln>
                <a:solidFill>
                  <a:schemeClr val="bg1"/>
                </a:solidFill>
              </a:ln>
              <a:effectLst>
                <a:outerShdw dist="35921" dir="2700000" algn="br">
                  <a:srgbClr val="000000"/>
                </a:outerShdw>
              </a:effectLst>
            </c:spPr>
          </c:dPt>
          <c:dPt>
            <c:idx val="9"/>
            <c:bubble3D val="0"/>
            <c:spPr>
              <a:solidFill>
                <a:schemeClr val="bg2">
                  <a:lumMod val="50000"/>
                </a:schemeClr>
              </a:solidFill>
              <a:ln>
                <a:solidFill>
                  <a:schemeClr val="bg1"/>
                </a:solidFill>
              </a:ln>
              <a:effectLst>
                <a:outerShdw dist="35921" dir="2700000" algn="br">
                  <a:srgbClr val="000000"/>
                </a:outerShdw>
              </a:effectLst>
            </c:spPr>
          </c:dPt>
          <c:dPt>
            <c:idx val="10"/>
            <c:bubble3D val="0"/>
            <c:spPr>
              <a:solidFill>
                <a:srgbClr val="00CCFF"/>
              </a:solidFill>
              <a:ln>
                <a:solidFill>
                  <a:schemeClr val="bg1"/>
                </a:solidFill>
              </a:ln>
              <a:effectLst>
                <a:outerShdw dist="35921" dir="2700000" algn="br">
                  <a:srgbClr val="000000"/>
                </a:outerShdw>
              </a:effectLst>
            </c:spPr>
          </c:dPt>
          <c:dPt>
            <c:idx val="11"/>
            <c:bubble3D val="0"/>
            <c:spPr>
              <a:solidFill>
                <a:srgbClr val="FFFF00"/>
              </a:solidFill>
              <a:ln>
                <a:solidFill>
                  <a:schemeClr val="bg1"/>
                </a:solidFill>
              </a:ln>
              <a:effectLst>
                <a:outerShdw dist="35921" dir="2700000" algn="br">
                  <a:srgbClr val="000000"/>
                </a:outerShdw>
              </a:effectLst>
            </c:spPr>
          </c:dPt>
          <c:dPt>
            <c:idx val="12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>
                <a:outerShdw dist="35921" dir="2700000" algn="br">
                  <a:srgbClr val="000000"/>
                </a:outerShdw>
              </a:effectLst>
            </c:spPr>
          </c:dPt>
          <c:dPt>
            <c:idx val="13"/>
            <c:bubble3D val="0"/>
            <c:spPr>
              <a:solidFill>
                <a:srgbClr val="FF66FF"/>
              </a:solidFill>
              <a:ln>
                <a:solidFill>
                  <a:schemeClr val="bg1"/>
                </a:solidFill>
              </a:ln>
              <a:effectLst>
                <a:outerShdw dist="35921" dir="2700000" algn="br">
                  <a:srgbClr val="000000"/>
                </a:outerShdw>
              </a:effectLst>
            </c:spPr>
          </c:dPt>
          <c:dPt>
            <c:idx val="14"/>
            <c:bubble3D val="0"/>
            <c:spPr>
              <a:solidFill>
                <a:schemeClr val="accent4">
                  <a:lumMod val="75000"/>
                </a:schemeClr>
              </a:solidFill>
              <a:ln>
                <a:solidFill>
                  <a:schemeClr val="bg1"/>
                </a:solidFill>
              </a:ln>
              <a:effectLst>
                <a:outerShdw dist="35921" dir="2700000" algn="br">
                  <a:srgbClr val="000000"/>
                </a:outerShdw>
              </a:effectLst>
            </c:spPr>
          </c:dPt>
          <c:dPt>
            <c:idx val="15"/>
            <c:bubble3D val="0"/>
            <c:spPr>
              <a:solidFill>
                <a:schemeClr val="accent6">
                  <a:lumMod val="75000"/>
                </a:schemeClr>
              </a:solidFill>
              <a:ln>
                <a:solidFill>
                  <a:schemeClr val="bg1"/>
                </a:solidFill>
              </a:ln>
              <a:effectLst>
                <a:outerShdw dist="35921" dir="2700000" algn="br">
                  <a:srgbClr val="000000"/>
                </a:outerShdw>
              </a:effectLst>
            </c:spPr>
          </c:dPt>
          <c:dLbls>
            <c:dLbl>
              <c:idx val="0"/>
              <c:layout>
                <c:manualLayout>
                  <c:x val="4.4931195127334888E-3"/>
                  <c:y val="3.153153153153154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6"/>
              <c:layout>
                <c:manualLayout>
                  <c:x val="0"/>
                  <c:y val="3.00300300300300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7"/>
              <c:layout>
                <c:manualLayout>
                  <c:x val="-6.1780393300086597E-2"/>
                  <c:y val="5.105093282258636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8"/>
              <c:layout>
                <c:manualLayout>
                  <c:x val="-9.0985758580089324E-2"/>
                  <c:y val="4.954954954954955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9"/>
              <c:layout>
                <c:manualLayout>
                  <c:x val="-4.5819034627994394E-2"/>
                  <c:y val="2.5715046296296295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0"/>
              <c:layout>
                <c:manualLayout>
                  <c:x val="0.24058286940044415"/>
                  <c:y val="0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numFmt formatCode="0.0%" sourceLinked="0"/>
            <c:txPr>
              <a:bodyPr/>
              <a:lstStyle/>
              <a:p>
                <a:pPr>
                  <a:defRPr sz="1400"/>
                </a:pPr>
                <a:endParaRPr lang="zh-TW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Patient病人數!$E$29:$E$44</c:f>
              <c:strCache>
                <c:ptCount val="16"/>
                <c:pt idx="0">
                  <c:v>Meningioma, grade 1-2</c:v>
                </c:pt>
                <c:pt idx="1">
                  <c:v>Metastatic tumors</c:v>
                </c:pt>
                <c:pt idx="2">
                  <c:v>Pituitary tumors</c:v>
                </c:pt>
                <c:pt idx="3">
                  <c:v>Diffuse glioma, grade 4</c:v>
                </c:pt>
                <c:pt idx="4">
                  <c:v>Diffuse glioma, low-grade</c:v>
                </c:pt>
                <c:pt idx="5">
                  <c:v>Schwannoma</c:v>
                </c:pt>
                <c:pt idx="6">
                  <c:v>Other benign tumors</c:v>
                </c:pt>
                <c:pt idx="7">
                  <c:v>Lymphoma</c:v>
                </c:pt>
                <c:pt idx="8">
                  <c:v>Diffuse glioma, grade 3</c:v>
                </c:pt>
                <c:pt idx="9">
                  <c:v>Other malignant tumors</c:v>
                </c:pt>
                <c:pt idx="10">
                  <c:v>Neuronal and mixed neuronal-glial tumors</c:v>
                </c:pt>
                <c:pt idx="11">
                  <c:v>Ependymal tumors</c:v>
                </c:pt>
                <c:pt idx="12">
                  <c:v>Meningioma, grade 3</c:v>
                </c:pt>
                <c:pt idx="13">
                  <c:v>Other astrocytic glioma</c:v>
                </c:pt>
                <c:pt idx="14">
                  <c:v>Embryonal tumors</c:v>
                </c:pt>
                <c:pt idx="15">
                  <c:v>Germ cell tumors</c:v>
                </c:pt>
              </c:strCache>
            </c:strRef>
          </c:cat>
          <c:val>
            <c:numRef>
              <c:f>Patient病人數!$F$29:$F$44</c:f>
              <c:numCache>
                <c:formatCode>General</c:formatCode>
                <c:ptCount val="16"/>
                <c:pt idx="0">
                  <c:v>468</c:v>
                </c:pt>
                <c:pt idx="1">
                  <c:v>279</c:v>
                </c:pt>
                <c:pt idx="2">
                  <c:v>271</c:v>
                </c:pt>
                <c:pt idx="3">
                  <c:v>166</c:v>
                </c:pt>
                <c:pt idx="4">
                  <c:v>69</c:v>
                </c:pt>
                <c:pt idx="5">
                  <c:v>65</c:v>
                </c:pt>
                <c:pt idx="6">
                  <c:v>58</c:v>
                </c:pt>
                <c:pt idx="7">
                  <c:v>48</c:v>
                </c:pt>
                <c:pt idx="8">
                  <c:v>46</c:v>
                </c:pt>
                <c:pt idx="9">
                  <c:v>26</c:v>
                </c:pt>
                <c:pt idx="10">
                  <c:v>15</c:v>
                </c:pt>
                <c:pt idx="11">
                  <c:v>9</c:v>
                </c:pt>
                <c:pt idx="12">
                  <c:v>9</c:v>
                </c:pt>
                <c:pt idx="13">
                  <c:v>8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1326 Males</a:t>
            </a:r>
            <a:endParaRPr lang="zh-TW" altLang="en-US"/>
          </a:p>
        </c:rich>
      </c:tx>
      <c:layout>
        <c:manualLayout>
          <c:xMode val="edge"/>
          <c:yMode val="edge"/>
          <c:x val="2.1618361504367186E-2"/>
          <c:y val="1.492799886500673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4524194564103726"/>
          <c:y val="4.9045186919202677E-2"/>
          <c:w val="0.6544754831341737"/>
          <c:h val="0.87484512071126241"/>
        </c:manualLayout>
      </c:layout>
      <c:pieChart>
        <c:varyColors val="1"/>
        <c:ser>
          <c:idx val="0"/>
          <c:order val="0"/>
          <c:tx>
            <c:strRef>
              <c:f>Patient病人數!$J$28</c:f>
              <c:strCache>
                <c:ptCount val="1"/>
                <c:pt idx="0">
                  <c:v>Male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rgbClr val="000066"/>
              </a:solidFill>
              <a:ln>
                <a:solidFill>
                  <a:schemeClr val="bg1"/>
                </a:solidFill>
              </a:ln>
            </c:spPr>
          </c:dPt>
          <c:dPt>
            <c:idx val="1"/>
            <c:bubble3D val="0"/>
            <c:spPr>
              <a:solidFill>
                <a:srgbClr val="FFC000"/>
              </a:solidFill>
              <a:ln>
                <a:solidFill>
                  <a:schemeClr val="bg1"/>
                </a:solidFill>
              </a:ln>
            </c:spPr>
          </c:dPt>
          <c:dPt>
            <c:idx val="2"/>
            <c:bubble3D val="0"/>
            <c:spPr>
              <a:solidFill>
                <a:srgbClr val="FF0000"/>
              </a:solidFill>
              <a:ln>
                <a:solidFill>
                  <a:schemeClr val="bg1"/>
                </a:solidFill>
              </a:ln>
            </c:spPr>
          </c:dPt>
          <c:dPt>
            <c:idx val="3"/>
            <c:bubble3D val="0"/>
            <c:spPr>
              <a:solidFill>
                <a:srgbClr val="00FF00"/>
              </a:solidFill>
              <a:ln>
                <a:solidFill>
                  <a:schemeClr val="bg1"/>
                </a:solidFill>
              </a:ln>
            </c:spPr>
          </c:dPt>
          <c:dPt>
            <c:idx val="4"/>
            <c:bubble3D val="0"/>
            <c:spPr>
              <a:solidFill>
                <a:srgbClr val="6600CC"/>
              </a:solidFill>
              <a:ln>
                <a:solidFill>
                  <a:schemeClr val="bg1"/>
                </a:solidFill>
              </a:ln>
            </c:spPr>
          </c:dPt>
          <c:dPt>
            <c:idx val="5"/>
            <c:bubble3D val="0"/>
            <c:spPr>
              <a:solidFill>
                <a:srgbClr val="0070C0"/>
              </a:solidFill>
              <a:ln>
                <a:solidFill>
                  <a:schemeClr val="bg1"/>
                </a:solidFill>
              </a:ln>
            </c:spPr>
          </c:dPt>
          <c:dPt>
            <c:idx val="6"/>
            <c:bubble3D val="0"/>
            <c:spPr>
              <a:solidFill>
                <a:schemeClr val="bg1"/>
              </a:solidFill>
              <a:ln>
                <a:solidFill>
                  <a:schemeClr val="bg1"/>
                </a:solidFill>
              </a:ln>
            </c:spPr>
          </c:dPt>
          <c:dPt>
            <c:idx val="7"/>
            <c:bubble3D val="0"/>
            <c:spPr>
              <a:solidFill>
                <a:schemeClr val="accent3">
                  <a:lumMod val="75000"/>
                </a:schemeClr>
              </a:solidFill>
              <a:ln>
                <a:solidFill>
                  <a:schemeClr val="bg1"/>
                </a:solidFill>
              </a:ln>
            </c:spPr>
          </c:dPt>
          <c:dPt>
            <c:idx val="8"/>
            <c:bubble3D val="0"/>
            <c:spPr>
              <a:solidFill>
                <a:schemeClr val="bg1">
                  <a:lumMod val="50000"/>
                </a:schemeClr>
              </a:solidFill>
              <a:ln>
                <a:solidFill>
                  <a:schemeClr val="bg1"/>
                </a:solidFill>
              </a:ln>
            </c:spPr>
          </c:dPt>
          <c:dPt>
            <c:idx val="9"/>
            <c:bubble3D val="0"/>
            <c:spPr>
              <a:solidFill>
                <a:srgbClr val="00CCFF"/>
              </a:solidFill>
              <a:ln>
                <a:solidFill>
                  <a:schemeClr val="bg1"/>
                </a:solidFill>
              </a:ln>
            </c:spPr>
          </c:dPt>
          <c:dPt>
            <c:idx val="10"/>
            <c:bubble3D val="0"/>
            <c:spPr>
              <a:solidFill>
                <a:schemeClr val="bg2">
                  <a:lumMod val="50000"/>
                </a:schemeClr>
              </a:solidFill>
              <a:ln>
                <a:solidFill>
                  <a:schemeClr val="bg1"/>
                </a:solidFill>
              </a:ln>
            </c:spPr>
          </c:dPt>
          <c:dPt>
            <c:idx val="11"/>
            <c:bubble3D val="0"/>
            <c:spPr>
              <a:solidFill>
                <a:schemeClr val="accent6">
                  <a:lumMod val="75000"/>
                </a:schemeClr>
              </a:solidFill>
              <a:ln>
                <a:solidFill>
                  <a:schemeClr val="bg1"/>
                </a:solidFill>
              </a:ln>
            </c:spPr>
          </c:dPt>
          <c:dPt>
            <c:idx val="12"/>
            <c:bubble3D val="0"/>
            <c:spPr>
              <a:solidFill>
                <a:srgbClr val="FFFF00"/>
              </a:solidFill>
              <a:ln>
                <a:solidFill>
                  <a:schemeClr val="bg1"/>
                </a:solidFill>
              </a:ln>
            </c:spPr>
          </c:dPt>
          <c:dPt>
            <c:idx val="13"/>
            <c:bubble3D val="0"/>
            <c:spPr>
              <a:solidFill>
                <a:schemeClr val="accent4">
                  <a:lumMod val="75000"/>
                </a:schemeClr>
              </a:solidFill>
              <a:ln>
                <a:solidFill>
                  <a:schemeClr val="bg1"/>
                </a:solidFill>
              </a:ln>
            </c:spPr>
          </c:dPt>
          <c:dPt>
            <c:idx val="14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</c:spPr>
          </c:dPt>
          <c:dPt>
            <c:idx val="15"/>
            <c:bubble3D val="0"/>
            <c:spPr>
              <a:solidFill>
                <a:srgbClr val="FF66FF"/>
              </a:solidFill>
              <a:ln>
                <a:solidFill>
                  <a:schemeClr val="bg1"/>
                </a:solidFill>
              </a:ln>
            </c:spPr>
          </c:dPt>
          <c:dLbls>
            <c:dLbl>
              <c:idx val="0"/>
              <c:layout>
                <c:manualLayout>
                  <c:x val="4.4931195127334888E-3"/>
                  <c:y val="3.153153153153154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6"/>
              <c:layout>
                <c:manualLayout>
                  <c:x val="0"/>
                  <c:y val="3.00300300300300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7"/>
              <c:layout>
                <c:manualLayout>
                  <c:x val="-6.1780393300086597E-2"/>
                  <c:y val="5.105093282258636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8"/>
              <c:layout>
                <c:manualLayout>
                  <c:x val="-9.0985758580089324E-2"/>
                  <c:y val="4.954954954954955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9"/>
              <c:layout>
                <c:manualLayout>
                  <c:x val="-3.1451836589135002E-2"/>
                  <c:y val="3.45345345345345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0"/>
              <c:layout>
                <c:manualLayout>
                  <c:x val="4.7177754883702502E-2"/>
                  <c:y val="0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1"/>
              <c:layout>
                <c:manualLayout>
                  <c:x val="0.21791629636757823"/>
                  <c:y val="3.003003003003003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numFmt formatCode="0.0%" sourceLinked="0"/>
            <c:txPr>
              <a:bodyPr/>
              <a:lstStyle/>
              <a:p>
                <a:pPr>
                  <a:defRPr sz="1400"/>
                </a:pPr>
                <a:endParaRPr lang="zh-TW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Patient病人數!$I$29:$I$44</c:f>
              <c:strCache>
                <c:ptCount val="16"/>
                <c:pt idx="0">
                  <c:v>Metastatic tumors</c:v>
                </c:pt>
                <c:pt idx="1">
                  <c:v>Pituitary tumors</c:v>
                </c:pt>
                <c:pt idx="2">
                  <c:v>Diffuse glioma, grade 4</c:v>
                </c:pt>
                <c:pt idx="3">
                  <c:v>Meningioma, grade 1-2</c:v>
                </c:pt>
                <c:pt idx="4">
                  <c:v>Other benign tumors</c:v>
                </c:pt>
                <c:pt idx="5">
                  <c:v>Diffuse glioma, low-grade</c:v>
                </c:pt>
                <c:pt idx="6">
                  <c:v>Schwannoma</c:v>
                </c:pt>
                <c:pt idx="7">
                  <c:v>Diffuse glioma, grade 3</c:v>
                </c:pt>
                <c:pt idx="8">
                  <c:v>Lymphoma</c:v>
                </c:pt>
                <c:pt idx="9">
                  <c:v>Neuronal and mixed neuronal-glial tumors</c:v>
                </c:pt>
                <c:pt idx="10">
                  <c:v>Other malignant tumors</c:v>
                </c:pt>
                <c:pt idx="11">
                  <c:v>Germ cell tumors</c:v>
                </c:pt>
                <c:pt idx="12">
                  <c:v>Ependymal tumors</c:v>
                </c:pt>
                <c:pt idx="13">
                  <c:v>Embryonal tumors</c:v>
                </c:pt>
                <c:pt idx="14">
                  <c:v>Meningioma, grade 3</c:v>
                </c:pt>
                <c:pt idx="15">
                  <c:v>Other astrocytic glioma</c:v>
                </c:pt>
              </c:strCache>
            </c:strRef>
          </c:cat>
          <c:val>
            <c:numRef>
              <c:f>Patient病人數!$J$29:$J$44</c:f>
              <c:numCache>
                <c:formatCode>General</c:formatCode>
                <c:ptCount val="16"/>
                <c:pt idx="0">
                  <c:v>283</c:v>
                </c:pt>
                <c:pt idx="1">
                  <c:v>249</c:v>
                </c:pt>
                <c:pt idx="2">
                  <c:v>202</c:v>
                </c:pt>
                <c:pt idx="3">
                  <c:v>188</c:v>
                </c:pt>
                <c:pt idx="4">
                  <c:v>90</c:v>
                </c:pt>
                <c:pt idx="5">
                  <c:v>65</c:v>
                </c:pt>
                <c:pt idx="6">
                  <c:v>57</c:v>
                </c:pt>
                <c:pt idx="7">
                  <c:v>52</c:v>
                </c:pt>
                <c:pt idx="8">
                  <c:v>36</c:v>
                </c:pt>
                <c:pt idx="9">
                  <c:v>22</c:v>
                </c:pt>
                <c:pt idx="10">
                  <c:v>19</c:v>
                </c:pt>
                <c:pt idx="11">
                  <c:v>18</c:v>
                </c:pt>
                <c:pt idx="12">
                  <c:v>12</c:v>
                </c:pt>
                <c:pt idx="13">
                  <c:v>11</c:v>
                </c:pt>
                <c:pt idx="14">
                  <c:v>11</c:v>
                </c:pt>
                <c:pt idx="15">
                  <c:v>11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Age 15-39 years</a:t>
            </a:r>
            <a:endParaRPr lang="zh-TW" altLang="en-US"/>
          </a:p>
        </c:rich>
      </c:tx>
      <c:layout>
        <c:manualLayout>
          <c:xMode val="edge"/>
          <c:yMode val="edge"/>
          <c:x val="3.7176389595466465E-2"/>
          <c:y val="2.31084327989656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0249562179162239"/>
          <c:y val="6.5367270670650179E-2"/>
          <c:w val="0.64731692708333322"/>
          <c:h val="0.86308923611111099"/>
        </c:manualLayout>
      </c:layout>
      <c:pieChart>
        <c:varyColors val="1"/>
        <c:ser>
          <c:idx val="0"/>
          <c:order val="0"/>
          <c:tx>
            <c:strRef>
              <c:f>Patient病人數!$S$5</c:f>
              <c:strCache>
                <c:ptCount val="1"/>
                <c:pt idx="0">
                  <c:v>15-39 years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rgbClr val="FFC000"/>
              </a:solidFill>
              <a:ln>
                <a:solidFill>
                  <a:schemeClr val="bg1"/>
                </a:solidFill>
              </a:ln>
            </c:spPr>
          </c:dPt>
          <c:dPt>
            <c:idx val="1"/>
            <c:bubble3D val="0"/>
            <c:spPr>
              <a:solidFill>
                <a:srgbClr val="FF0000"/>
              </a:solidFill>
              <a:ln>
                <a:solidFill>
                  <a:schemeClr val="bg1"/>
                </a:solidFill>
              </a:ln>
            </c:spPr>
          </c:dPt>
          <c:dPt>
            <c:idx val="2"/>
            <c:bubble3D val="0"/>
            <c:spPr>
              <a:solidFill>
                <a:srgbClr val="00FF00"/>
              </a:solidFill>
              <a:ln>
                <a:solidFill>
                  <a:schemeClr val="bg1"/>
                </a:solidFill>
              </a:ln>
            </c:spPr>
          </c:dPt>
          <c:dPt>
            <c:idx val="3"/>
            <c:bubble3D val="0"/>
            <c:spPr>
              <a:solidFill>
                <a:srgbClr val="0070C0"/>
              </a:solidFill>
              <a:ln>
                <a:solidFill>
                  <a:schemeClr val="bg1"/>
                </a:solidFill>
              </a:ln>
            </c:spPr>
          </c:dPt>
          <c:dPt>
            <c:idx val="4"/>
            <c:bubble3D val="0"/>
            <c:spPr>
              <a:solidFill>
                <a:srgbClr val="6600CC"/>
              </a:solidFill>
              <a:ln>
                <a:solidFill>
                  <a:schemeClr val="bg1"/>
                </a:solidFill>
              </a:ln>
            </c:spPr>
          </c:dPt>
          <c:dPt>
            <c:idx val="5"/>
            <c:bubble3D val="0"/>
            <c:spPr>
              <a:solidFill>
                <a:srgbClr val="000066"/>
              </a:solidFill>
              <a:ln>
                <a:solidFill>
                  <a:schemeClr val="bg1"/>
                </a:solidFill>
              </a:ln>
            </c:spPr>
          </c:dPt>
          <c:dPt>
            <c:idx val="6"/>
            <c:bubble3D val="0"/>
            <c:spPr>
              <a:solidFill>
                <a:schemeClr val="accent3">
                  <a:lumMod val="75000"/>
                </a:schemeClr>
              </a:solidFill>
              <a:ln>
                <a:solidFill>
                  <a:schemeClr val="bg1"/>
                </a:solidFill>
              </a:ln>
            </c:spPr>
          </c:dPt>
          <c:dPt>
            <c:idx val="7"/>
            <c:bubble3D val="0"/>
            <c:spPr>
              <a:solidFill>
                <a:schemeClr val="bg1"/>
              </a:solidFill>
              <a:ln>
                <a:solidFill>
                  <a:schemeClr val="bg1"/>
                </a:solidFill>
              </a:ln>
            </c:spPr>
          </c:dPt>
          <c:dPt>
            <c:idx val="8"/>
            <c:bubble3D val="0"/>
            <c:spPr>
              <a:solidFill>
                <a:srgbClr val="00CCFF"/>
              </a:solidFill>
              <a:ln>
                <a:solidFill>
                  <a:schemeClr val="bg1"/>
                </a:solidFill>
              </a:ln>
            </c:spPr>
          </c:dPt>
          <c:dPt>
            <c:idx val="9"/>
            <c:bubble3D val="0"/>
            <c:spPr>
              <a:solidFill>
                <a:schemeClr val="accent6">
                  <a:lumMod val="75000"/>
                </a:schemeClr>
              </a:solidFill>
              <a:ln>
                <a:solidFill>
                  <a:schemeClr val="bg1"/>
                </a:solidFill>
              </a:ln>
            </c:spPr>
          </c:dPt>
          <c:dPt>
            <c:idx val="10"/>
            <c:bubble3D val="0"/>
            <c:spPr>
              <a:solidFill>
                <a:schemeClr val="bg2">
                  <a:lumMod val="50000"/>
                </a:schemeClr>
              </a:solidFill>
              <a:ln>
                <a:solidFill>
                  <a:schemeClr val="bg1"/>
                </a:solidFill>
              </a:ln>
            </c:spPr>
          </c:dPt>
          <c:dPt>
            <c:idx val="11"/>
            <c:bubble3D val="0"/>
            <c:spPr>
              <a:solidFill>
                <a:srgbClr val="FFFF00"/>
              </a:solidFill>
              <a:ln>
                <a:solidFill>
                  <a:schemeClr val="bg1"/>
                </a:solidFill>
              </a:ln>
            </c:spPr>
          </c:dPt>
          <c:dPt>
            <c:idx val="12"/>
            <c:bubble3D val="0"/>
            <c:spPr>
              <a:solidFill>
                <a:srgbClr val="FF66FF"/>
              </a:solidFill>
              <a:ln>
                <a:solidFill>
                  <a:schemeClr val="bg1"/>
                </a:solidFill>
              </a:ln>
            </c:spPr>
          </c:dPt>
          <c:dPt>
            <c:idx val="1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</c:spPr>
          </c:dPt>
          <c:dPt>
            <c:idx val="14"/>
            <c:bubble3D val="0"/>
            <c:spPr>
              <a:solidFill>
                <a:schemeClr val="accent4">
                  <a:lumMod val="75000"/>
                </a:schemeClr>
              </a:solidFill>
              <a:ln>
                <a:solidFill>
                  <a:schemeClr val="bg1"/>
                </a:solidFill>
              </a:ln>
            </c:spPr>
          </c:dPt>
          <c:dPt>
            <c:idx val="15"/>
            <c:bubble3D val="0"/>
            <c:spPr>
              <a:solidFill>
                <a:schemeClr val="bg1">
                  <a:lumMod val="50000"/>
                </a:schemeClr>
              </a:solidFill>
              <a:ln>
                <a:solidFill>
                  <a:schemeClr val="bg1"/>
                </a:solidFill>
              </a:ln>
            </c:spPr>
          </c:dPt>
          <c:dLbls>
            <c:dLbl>
              <c:idx val="7"/>
              <c:layout>
                <c:manualLayout>
                  <c:x val="-5.2982379534617242E-2"/>
                  <c:y val="3.5467935360468862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8"/>
              <c:layout>
                <c:manualLayout>
                  <c:x val="-2.8128811150496379E-2"/>
                  <c:y val="5.241993460791831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9"/>
              <c:layout>
                <c:manualLayout>
                  <c:x val="-8.1827009054285402E-2"/>
                  <c:y val="1.9152411439908555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0"/>
              <c:layout>
                <c:manualLayout>
                  <c:x val="-4.2406241352121447E-2"/>
                  <c:y val="-2.8575256480058834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1"/>
              <c:layout>
                <c:manualLayout>
                  <c:x val="2.4999408989204667E-2"/>
                  <c:y val="-1.035121876131320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2"/>
              <c:layout>
                <c:manualLayout>
                  <c:x val="0.16227192198101256"/>
                  <c:y val="1.4120584822993839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numFmt formatCode="0.0%" sourceLinked="0"/>
            <c:txPr>
              <a:bodyPr/>
              <a:lstStyle/>
              <a:p>
                <a:pPr>
                  <a:defRPr sz="1400"/>
                </a:pPr>
                <a:endParaRPr lang="zh-TW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Patient病人數!$R$6:$R$21</c:f>
              <c:strCache>
                <c:ptCount val="16"/>
                <c:pt idx="0">
                  <c:v>Pituitary tumors</c:v>
                </c:pt>
                <c:pt idx="1">
                  <c:v>Diffuse glioma, grade 4</c:v>
                </c:pt>
                <c:pt idx="2">
                  <c:v>Meningioma, grade 1-2</c:v>
                </c:pt>
                <c:pt idx="3">
                  <c:v>Diffuse glioma, low-grade</c:v>
                </c:pt>
                <c:pt idx="4">
                  <c:v>Other benign tumors</c:v>
                </c:pt>
                <c:pt idx="5">
                  <c:v>Metastatic tumors</c:v>
                </c:pt>
                <c:pt idx="6">
                  <c:v>Diffuse glioma, grade 3</c:v>
                </c:pt>
                <c:pt idx="7">
                  <c:v>Schwannoma</c:v>
                </c:pt>
                <c:pt idx="8">
                  <c:v>Neuronal and mixed neuronal-glial tumors</c:v>
                </c:pt>
                <c:pt idx="9">
                  <c:v>Germ cell tumors</c:v>
                </c:pt>
                <c:pt idx="10">
                  <c:v>Other malignant tumors</c:v>
                </c:pt>
                <c:pt idx="11">
                  <c:v>Ependymal tumors</c:v>
                </c:pt>
                <c:pt idx="12">
                  <c:v>Other astrocytic glioma</c:v>
                </c:pt>
                <c:pt idx="13">
                  <c:v>Meningioma, grade 3</c:v>
                </c:pt>
                <c:pt idx="14">
                  <c:v>Embryonal tumors</c:v>
                </c:pt>
                <c:pt idx="15">
                  <c:v>Lymphoma</c:v>
                </c:pt>
              </c:strCache>
            </c:strRef>
          </c:cat>
          <c:val>
            <c:numRef>
              <c:f>Patient病人數!$S$6:$S$21</c:f>
              <c:numCache>
                <c:formatCode>General</c:formatCode>
                <c:ptCount val="16"/>
                <c:pt idx="0">
                  <c:v>119</c:v>
                </c:pt>
                <c:pt idx="1">
                  <c:v>58</c:v>
                </c:pt>
                <c:pt idx="2">
                  <c:v>54</c:v>
                </c:pt>
                <c:pt idx="3">
                  <c:v>48</c:v>
                </c:pt>
                <c:pt idx="4">
                  <c:v>42</c:v>
                </c:pt>
                <c:pt idx="5">
                  <c:v>25</c:v>
                </c:pt>
                <c:pt idx="6">
                  <c:v>20</c:v>
                </c:pt>
                <c:pt idx="7">
                  <c:v>20</c:v>
                </c:pt>
                <c:pt idx="8">
                  <c:v>14</c:v>
                </c:pt>
                <c:pt idx="9">
                  <c:v>11</c:v>
                </c:pt>
                <c:pt idx="10">
                  <c:v>10</c:v>
                </c:pt>
                <c:pt idx="11">
                  <c:v>6</c:v>
                </c:pt>
                <c:pt idx="12">
                  <c:v>6</c:v>
                </c:pt>
                <c:pt idx="13">
                  <c:v>3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Age 0-14 years</a:t>
            </a:r>
            <a:endParaRPr lang="zh-TW" altLang="en-US"/>
          </a:p>
        </c:rich>
      </c:tx>
      <c:layout>
        <c:manualLayout>
          <c:xMode val="edge"/>
          <c:yMode val="edge"/>
          <c:x val="5.7563317606235752E-2"/>
          <c:y val="1.492799886500673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0702233894112387"/>
          <c:y val="5.6047222222222234E-2"/>
          <c:w val="0.65124904513888893"/>
          <c:h val="0.86833206018518516"/>
        </c:manualLayout>
      </c:layout>
      <c:pieChart>
        <c:varyColors val="1"/>
        <c:ser>
          <c:idx val="0"/>
          <c:order val="0"/>
          <c:tx>
            <c:strRef>
              <c:f>Patient病人數!$O$5</c:f>
              <c:strCache>
                <c:ptCount val="1"/>
                <c:pt idx="0">
                  <c:v>0-14 years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rgbClr val="6600CC"/>
              </a:solidFill>
              <a:ln>
                <a:solidFill>
                  <a:schemeClr val="bg1"/>
                </a:solidFill>
              </a:ln>
            </c:spPr>
          </c:dPt>
          <c:dPt>
            <c:idx val="1"/>
            <c:bubble3D val="0"/>
            <c:spPr>
              <a:solidFill>
                <a:schemeClr val="accent4">
                  <a:lumMod val="75000"/>
                </a:schemeClr>
              </a:solidFill>
              <a:ln>
                <a:solidFill>
                  <a:schemeClr val="bg1"/>
                </a:solidFill>
              </a:ln>
            </c:spPr>
          </c:dPt>
          <c:dPt>
            <c:idx val="2"/>
            <c:bubble3D val="0"/>
            <c:spPr>
              <a:solidFill>
                <a:schemeClr val="accent6">
                  <a:lumMod val="75000"/>
                </a:schemeClr>
              </a:solidFill>
              <a:ln>
                <a:solidFill>
                  <a:schemeClr val="bg1"/>
                </a:solidFill>
              </a:ln>
            </c:spPr>
          </c:dPt>
          <c:dPt>
            <c:idx val="3"/>
            <c:bubble3D val="0"/>
            <c:spPr>
              <a:solidFill>
                <a:srgbClr val="FF66FF"/>
              </a:solidFill>
              <a:ln>
                <a:solidFill>
                  <a:schemeClr val="bg1"/>
                </a:solidFill>
              </a:ln>
            </c:spPr>
          </c:dPt>
          <c:dPt>
            <c:idx val="4"/>
            <c:bubble3D val="0"/>
            <c:spPr>
              <a:solidFill>
                <a:srgbClr val="FF0000"/>
              </a:solidFill>
              <a:ln>
                <a:solidFill>
                  <a:schemeClr val="bg1"/>
                </a:solidFill>
              </a:ln>
            </c:spPr>
          </c:dPt>
          <c:dPt>
            <c:idx val="5"/>
            <c:bubble3D val="0"/>
            <c:spPr>
              <a:solidFill>
                <a:srgbClr val="FFFF00"/>
              </a:solidFill>
              <a:ln>
                <a:solidFill>
                  <a:schemeClr val="bg1"/>
                </a:solidFill>
              </a:ln>
            </c:spPr>
          </c:dPt>
          <c:dPt>
            <c:idx val="6"/>
            <c:bubble3D val="0"/>
            <c:spPr>
              <a:solidFill>
                <a:srgbClr val="0070C0"/>
              </a:solidFill>
              <a:ln>
                <a:solidFill>
                  <a:schemeClr val="bg1"/>
                </a:solidFill>
              </a:ln>
            </c:spPr>
          </c:dPt>
          <c:dPt>
            <c:idx val="7"/>
            <c:bubble3D val="0"/>
            <c:spPr>
              <a:solidFill>
                <a:schemeClr val="bg2">
                  <a:lumMod val="50000"/>
                </a:schemeClr>
              </a:solidFill>
              <a:ln>
                <a:solidFill>
                  <a:schemeClr val="bg1"/>
                </a:solidFill>
              </a:ln>
            </c:spPr>
          </c:dPt>
          <c:dPt>
            <c:idx val="8"/>
            <c:bubble3D val="0"/>
            <c:spPr>
              <a:solidFill>
                <a:srgbClr val="00CCFF"/>
              </a:solidFill>
              <a:ln>
                <a:solidFill>
                  <a:schemeClr val="bg1"/>
                </a:solidFill>
              </a:ln>
            </c:spPr>
          </c:dPt>
          <c:dPt>
            <c:idx val="9"/>
            <c:bubble3D val="0"/>
            <c:spPr>
              <a:solidFill>
                <a:srgbClr val="00CCFF"/>
              </a:solidFill>
              <a:ln>
                <a:solidFill>
                  <a:schemeClr val="bg1"/>
                </a:solidFill>
              </a:ln>
            </c:spPr>
          </c:dPt>
          <c:dLbls>
            <c:dLbl>
              <c:idx val="5"/>
              <c:layout>
                <c:manualLayout>
                  <c:x val="3.3698396345501788E-3"/>
                  <c:y val="-7.507507507507563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6"/>
              <c:layout>
                <c:manualLayout>
                  <c:x val="-1.3479358538200715E-2"/>
                  <c:y val="2.7027027027027029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7"/>
              <c:layout>
                <c:manualLayout>
                  <c:x val="1.0109518903650494E-2"/>
                  <c:y val="9.0090090090090089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8"/>
              <c:layout>
                <c:manualLayout>
                  <c:x val="0.12768895752783435"/>
                  <c:y val="0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9"/>
              <c:layout>
                <c:manualLayout>
                  <c:x val="0.1683017361111111"/>
                  <c:y val="9.4791666666666703E-5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2"/>
              <c:layout>
                <c:manualLayout>
                  <c:x val="7.0766632325553747E-2"/>
                  <c:y val="-3.003003003003003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4"/>
              <c:layout>
                <c:manualLayout>
                  <c:x val="-2.3588877441851251E-2"/>
                  <c:y val="-3.003003003003003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5"/>
              <c:layout>
                <c:manualLayout>
                  <c:x val="0.15501262318930822"/>
                  <c:y val="1.6516516516516529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</c:dLbl>
            <c:numFmt formatCode="0.0%" sourceLinked="0"/>
            <c:txPr>
              <a:bodyPr/>
              <a:lstStyle/>
              <a:p>
                <a:pPr>
                  <a:defRPr sz="1400"/>
                </a:pPr>
                <a:endParaRPr lang="zh-TW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Patient病人數!$N$6:$N$14</c:f>
              <c:strCache>
                <c:ptCount val="9"/>
                <c:pt idx="0">
                  <c:v>Other benign tumors</c:v>
                </c:pt>
                <c:pt idx="1">
                  <c:v>Embryonal tumors</c:v>
                </c:pt>
                <c:pt idx="2">
                  <c:v>Germ cell tumors</c:v>
                </c:pt>
                <c:pt idx="3">
                  <c:v>Other astrocytic glioma</c:v>
                </c:pt>
                <c:pt idx="4">
                  <c:v>Diffuse glioma, grade 4</c:v>
                </c:pt>
                <c:pt idx="5">
                  <c:v>Ependymal tumors</c:v>
                </c:pt>
                <c:pt idx="6">
                  <c:v>Diffuse glioma, low-grade</c:v>
                </c:pt>
                <c:pt idx="7">
                  <c:v>Other malignant tumors</c:v>
                </c:pt>
                <c:pt idx="8">
                  <c:v>Neuronal and mixed neuronal-glial tumors</c:v>
                </c:pt>
              </c:strCache>
            </c:strRef>
          </c:cat>
          <c:val>
            <c:numRef>
              <c:f>Patient病人數!$O$6:$O$14</c:f>
              <c:numCache>
                <c:formatCode>General</c:formatCode>
                <c:ptCount val="9"/>
                <c:pt idx="0">
                  <c:v>23</c:v>
                </c:pt>
                <c:pt idx="1">
                  <c:v>13</c:v>
                </c:pt>
                <c:pt idx="2">
                  <c:v>12</c:v>
                </c:pt>
                <c:pt idx="3">
                  <c:v>11</c:v>
                </c:pt>
                <c:pt idx="4">
                  <c:v>9</c:v>
                </c:pt>
                <c:pt idx="5">
                  <c:v>8</c:v>
                </c:pt>
                <c:pt idx="6">
                  <c:v>5</c:v>
                </c:pt>
                <c:pt idx="7">
                  <c:v>5</c:v>
                </c:pt>
                <c:pt idx="8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Age ≥40 years</a:t>
            </a:r>
            <a:endParaRPr lang="zh-TW" altLang="en-US"/>
          </a:p>
        </c:rich>
      </c:tx>
      <c:layout>
        <c:manualLayout>
          <c:xMode val="edge"/>
          <c:yMode val="edge"/>
          <c:x val="4.7627620863064123E-2"/>
          <c:y val="2.429429091194550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6029816039388325"/>
          <c:y val="7.3475972325168351E-2"/>
          <c:w val="0.64407118055555546"/>
          <c:h val="0.85876157407407394"/>
        </c:manualLayout>
      </c:layout>
      <c:pieChart>
        <c:varyColors val="1"/>
        <c:ser>
          <c:idx val="0"/>
          <c:order val="0"/>
          <c:tx>
            <c:strRef>
              <c:f>Patient病人數!$W$5</c:f>
              <c:strCache>
                <c:ptCount val="1"/>
                <c:pt idx="0">
                  <c:v>≥40 years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rgbClr val="00FF00"/>
              </a:solidFill>
              <a:ln>
                <a:solidFill>
                  <a:schemeClr val="bg1"/>
                </a:solidFill>
              </a:ln>
            </c:spPr>
          </c:dPt>
          <c:dPt>
            <c:idx val="1"/>
            <c:bubble3D val="0"/>
            <c:spPr>
              <a:solidFill>
                <a:srgbClr val="000066"/>
              </a:solidFill>
              <a:ln>
                <a:solidFill>
                  <a:schemeClr val="bg1"/>
                </a:solidFill>
              </a:ln>
            </c:spPr>
          </c:dPt>
          <c:dPt>
            <c:idx val="2"/>
            <c:bubble3D val="0"/>
            <c:spPr>
              <a:solidFill>
                <a:srgbClr val="FFC000"/>
              </a:solidFill>
              <a:ln>
                <a:solidFill>
                  <a:schemeClr val="bg1"/>
                </a:solidFill>
              </a:ln>
            </c:spPr>
          </c:dPt>
          <c:dPt>
            <c:idx val="3"/>
            <c:bubble3D val="0"/>
            <c:spPr>
              <a:solidFill>
                <a:srgbClr val="FF0000"/>
              </a:solidFill>
              <a:ln>
                <a:solidFill>
                  <a:schemeClr val="bg1"/>
                </a:solidFill>
              </a:ln>
            </c:spPr>
          </c:dPt>
          <c:dPt>
            <c:idx val="4"/>
            <c:bubble3D val="0"/>
            <c:spPr>
              <a:solidFill>
                <a:schemeClr val="bg1"/>
              </a:solidFill>
              <a:ln>
                <a:solidFill>
                  <a:schemeClr val="bg1"/>
                </a:solidFill>
              </a:ln>
            </c:spPr>
          </c:dPt>
          <c:dPt>
            <c:idx val="5"/>
            <c:bubble3D val="0"/>
            <c:spPr>
              <a:solidFill>
                <a:schemeClr val="bg1">
                  <a:lumMod val="50000"/>
                </a:schemeClr>
              </a:solidFill>
              <a:ln>
                <a:solidFill>
                  <a:schemeClr val="bg1"/>
                </a:solidFill>
              </a:ln>
            </c:spPr>
          </c:dPt>
          <c:dPt>
            <c:idx val="6"/>
            <c:bubble3D val="0"/>
            <c:spPr>
              <a:solidFill>
                <a:srgbClr val="6600CC"/>
              </a:solidFill>
              <a:ln>
                <a:solidFill>
                  <a:schemeClr val="bg1"/>
                </a:solidFill>
              </a:ln>
            </c:spPr>
          </c:dPt>
          <c:dPt>
            <c:idx val="7"/>
            <c:bubble3D val="0"/>
            <c:spPr>
              <a:solidFill>
                <a:srgbClr val="0070C0"/>
              </a:solidFill>
              <a:ln>
                <a:solidFill>
                  <a:schemeClr val="bg1"/>
                </a:solidFill>
              </a:ln>
            </c:spPr>
          </c:dPt>
          <c:dPt>
            <c:idx val="8"/>
            <c:bubble3D val="0"/>
            <c:spPr>
              <a:solidFill>
                <a:schemeClr val="accent3">
                  <a:lumMod val="75000"/>
                </a:schemeClr>
              </a:solidFill>
              <a:ln>
                <a:solidFill>
                  <a:schemeClr val="bg1"/>
                </a:solidFill>
              </a:ln>
            </c:spPr>
          </c:dPt>
          <c:dPt>
            <c:idx val="9"/>
            <c:bubble3D val="0"/>
            <c:spPr>
              <a:solidFill>
                <a:schemeClr val="bg2">
                  <a:lumMod val="50000"/>
                </a:schemeClr>
              </a:solidFill>
              <a:ln>
                <a:solidFill>
                  <a:schemeClr val="bg1"/>
                </a:solidFill>
              </a:ln>
            </c:spPr>
          </c:dPt>
          <c:dPt>
            <c:idx val="10"/>
            <c:bubble3D val="0"/>
            <c:spPr>
              <a:solidFill>
                <a:srgbClr val="00B0F0"/>
              </a:solidFill>
              <a:ln>
                <a:solidFill>
                  <a:schemeClr val="bg1"/>
                </a:solidFill>
              </a:ln>
            </c:spPr>
          </c:dPt>
          <c:dPt>
            <c:idx val="1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</c:spPr>
          </c:dPt>
          <c:dPt>
            <c:idx val="12"/>
            <c:bubble3D val="0"/>
            <c:spPr>
              <a:solidFill>
                <a:srgbClr val="FFFF00"/>
              </a:solidFill>
              <a:ln>
                <a:solidFill>
                  <a:schemeClr val="bg1"/>
                </a:solidFill>
              </a:ln>
            </c:spPr>
          </c:dPt>
          <c:dPt>
            <c:idx val="13"/>
            <c:bubble3D val="0"/>
            <c:spPr>
              <a:solidFill>
                <a:schemeClr val="accent4">
                  <a:lumMod val="75000"/>
                </a:schemeClr>
              </a:solidFill>
              <a:ln>
                <a:solidFill>
                  <a:schemeClr val="bg1"/>
                </a:solidFill>
              </a:ln>
            </c:spPr>
          </c:dPt>
          <c:dPt>
            <c:idx val="14"/>
            <c:bubble3D val="0"/>
            <c:spPr>
              <a:solidFill>
                <a:srgbClr val="FF66FF"/>
              </a:solidFill>
              <a:ln>
                <a:solidFill>
                  <a:schemeClr val="bg1"/>
                </a:solidFill>
              </a:ln>
            </c:spPr>
          </c:dPt>
          <c:dPt>
            <c:idx val="15"/>
            <c:bubble3D val="0"/>
            <c:spPr>
              <a:solidFill>
                <a:schemeClr val="accent6">
                  <a:lumMod val="75000"/>
                </a:schemeClr>
              </a:solidFill>
              <a:ln>
                <a:solidFill>
                  <a:schemeClr val="bg1"/>
                </a:solidFill>
              </a:ln>
            </c:spPr>
          </c:dPt>
          <c:dLbls>
            <c:dLbl>
              <c:idx val="0"/>
              <c:layout>
                <c:manualLayout>
                  <c:x val="2.965958251324527E-2"/>
                  <c:y val="1.560468140442132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6"/>
              <c:layout>
                <c:manualLayout>
                  <c:x val="-1.4829791256622584E-2"/>
                  <c:y val="2.0806241872561769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7"/>
              <c:layout>
                <c:manualLayout>
                  <c:x val="-1.3481628415111442E-3"/>
                  <c:y val="2.0806241872561752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8"/>
              <c:layout>
                <c:manualLayout>
                  <c:x val="-3.2355908196267456E-2"/>
                  <c:y val="5.2015604681404422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9"/>
              <c:layout>
                <c:manualLayout>
                  <c:x val="8.7125615201876325E-2"/>
                  <c:y val="-5.4716841343386505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numFmt formatCode="0.0%" sourceLinked="0"/>
            <c:txPr>
              <a:bodyPr/>
              <a:lstStyle/>
              <a:p>
                <a:pPr>
                  <a:defRPr sz="1400"/>
                </a:pPr>
                <a:endParaRPr lang="zh-TW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Patient病人數!$V$6:$V$21</c:f>
              <c:strCache>
                <c:ptCount val="16"/>
                <c:pt idx="0">
                  <c:v>Meningioma, grade 1-2</c:v>
                </c:pt>
                <c:pt idx="1">
                  <c:v>Metastatic tumors</c:v>
                </c:pt>
                <c:pt idx="2">
                  <c:v>Pituitary tumors</c:v>
                </c:pt>
                <c:pt idx="3">
                  <c:v>Diffuse glioma, grade 4</c:v>
                </c:pt>
                <c:pt idx="4">
                  <c:v>Schwannoma</c:v>
                </c:pt>
                <c:pt idx="5">
                  <c:v>Lymphoma</c:v>
                </c:pt>
                <c:pt idx="6">
                  <c:v>Other benign tumors</c:v>
                </c:pt>
                <c:pt idx="7">
                  <c:v>Diffuse glioma, low-grade</c:v>
                </c:pt>
                <c:pt idx="8">
                  <c:v>Diffuse glioma, grade 3</c:v>
                </c:pt>
                <c:pt idx="9">
                  <c:v>Other malignant tumors</c:v>
                </c:pt>
                <c:pt idx="10">
                  <c:v>Neuronal and mixed neuronal-glial tumors</c:v>
                </c:pt>
                <c:pt idx="11">
                  <c:v>Meningioma, grade 3</c:v>
                </c:pt>
                <c:pt idx="12">
                  <c:v>Ependymal tumors</c:v>
                </c:pt>
                <c:pt idx="13">
                  <c:v>Embryonal tumors</c:v>
                </c:pt>
                <c:pt idx="14">
                  <c:v>Other astrocytic glioma</c:v>
                </c:pt>
                <c:pt idx="15">
                  <c:v>Germ cell tumors</c:v>
                </c:pt>
              </c:strCache>
            </c:strRef>
          </c:cat>
          <c:val>
            <c:numRef>
              <c:f>Patient病人數!$W$6:$W$21</c:f>
              <c:numCache>
                <c:formatCode>General</c:formatCode>
                <c:ptCount val="16"/>
                <c:pt idx="0">
                  <c:v>602</c:v>
                </c:pt>
                <c:pt idx="1">
                  <c:v>537</c:v>
                </c:pt>
                <c:pt idx="2">
                  <c:v>401</c:v>
                </c:pt>
                <c:pt idx="3">
                  <c:v>301</c:v>
                </c:pt>
                <c:pt idx="4">
                  <c:v>102</c:v>
                </c:pt>
                <c:pt idx="5">
                  <c:v>83</c:v>
                </c:pt>
                <c:pt idx="6">
                  <c:v>83</c:v>
                </c:pt>
                <c:pt idx="7">
                  <c:v>81</c:v>
                </c:pt>
                <c:pt idx="8">
                  <c:v>78</c:v>
                </c:pt>
                <c:pt idx="9">
                  <c:v>30</c:v>
                </c:pt>
                <c:pt idx="10">
                  <c:v>21</c:v>
                </c:pt>
                <c:pt idx="11">
                  <c:v>17</c:v>
                </c:pt>
                <c:pt idx="12">
                  <c:v>7</c:v>
                </c:pt>
                <c:pt idx="13">
                  <c:v>3</c:v>
                </c:pt>
                <c:pt idx="14">
                  <c:v>2</c:v>
                </c:pt>
                <c:pt idx="15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400"/>
            </a:pPr>
            <a:r>
              <a:rPr lang="en-US" altLang="zh-TW" sz="2400"/>
              <a:t>2875 Patients</a:t>
            </a:r>
            <a:endParaRPr lang="zh-TW" altLang="en-US" sz="2400"/>
          </a:p>
        </c:rich>
      </c:tx>
      <c:layout>
        <c:manualLayout>
          <c:xMode val="edge"/>
          <c:yMode val="edge"/>
          <c:x val="2.1618361504367186E-2"/>
          <c:y val="1.492799886500673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4524194564103726"/>
          <c:y val="4.9045186919202677E-2"/>
          <c:w val="0.6544754831341737"/>
          <c:h val="0.87484512071126241"/>
        </c:manualLayout>
      </c:layout>
      <c:pieChart>
        <c:varyColors val="1"/>
        <c:ser>
          <c:idx val="0"/>
          <c:order val="0"/>
          <c:tx>
            <c:strRef>
              <c:f>Surgery手術數!$B$89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FF00"/>
            </a:solidFill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solidFill>
                  <a:schemeClr val="bg1"/>
                </a:solidFill>
              </a:ln>
            </c:spPr>
          </c:dPt>
          <c:dPt>
            <c:idx val="1"/>
            <c:bubble3D val="0"/>
            <c:spPr>
              <a:solidFill>
                <a:srgbClr val="0070C0"/>
              </a:solidFill>
              <a:ln>
                <a:solidFill>
                  <a:schemeClr val="bg1"/>
                </a:solidFill>
              </a:ln>
            </c:spPr>
          </c:dPt>
          <c:dPt>
            <c:idx val="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</c:spPr>
          </c:dPt>
          <c:dPt>
            <c:idx val="3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solidFill>
                  <a:schemeClr val="bg1"/>
                </a:solidFill>
              </a:ln>
            </c:spPr>
          </c:dPt>
          <c:dPt>
            <c:idx val="4"/>
            <c:bubble3D val="0"/>
            <c:spPr>
              <a:solidFill>
                <a:srgbClr val="CC3300"/>
              </a:solidFill>
              <a:ln>
                <a:solidFill>
                  <a:schemeClr val="bg1"/>
                </a:solidFill>
              </a:ln>
            </c:spPr>
          </c:dPt>
          <c:dPt>
            <c:idx val="5"/>
            <c:bubble3D val="0"/>
            <c:spPr>
              <a:solidFill>
                <a:srgbClr val="FF0000"/>
              </a:solidFill>
              <a:ln>
                <a:solidFill>
                  <a:schemeClr val="bg1"/>
                </a:solidFill>
              </a:ln>
            </c:spPr>
          </c:dPt>
          <c:dPt>
            <c:idx val="6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</c:spPr>
          </c:dPt>
          <c:dPt>
            <c:idx val="7"/>
            <c:bubble3D val="0"/>
          </c:dPt>
          <c:dPt>
            <c:idx val="8"/>
            <c:bubble3D val="0"/>
          </c:dPt>
          <c:dPt>
            <c:idx val="9"/>
            <c:bubble3D val="0"/>
          </c:dPt>
          <c:dPt>
            <c:idx val="10"/>
            <c:bubble3D val="0"/>
          </c:dPt>
          <c:dPt>
            <c:idx val="11"/>
            <c:bubble3D val="0"/>
          </c:dPt>
          <c:dPt>
            <c:idx val="12"/>
            <c:bubble3D val="0"/>
          </c:dPt>
          <c:dPt>
            <c:idx val="13"/>
            <c:bubble3D val="0"/>
          </c:dPt>
          <c:dPt>
            <c:idx val="14"/>
            <c:bubble3D val="0"/>
          </c:dPt>
          <c:dPt>
            <c:idx val="15"/>
            <c:bubble3D val="0"/>
          </c:dPt>
          <c:dLbls>
            <c:dLbl>
              <c:idx val="0"/>
              <c:layout>
                <c:manualLayout>
                  <c:x val="4.4931195127334888E-3"/>
                  <c:y val="3.153153153153154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2"/>
              <c:layout>
                <c:manualLayout>
                  <c:x val="2.5461162139487247E-2"/>
                  <c:y val="-2.555180779927817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3"/>
              <c:layout>
                <c:manualLayout>
                  <c:x val="-5.5350352477147001E-3"/>
                  <c:y val="1.953961772885969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4"/>
              <c:layout>
                <c:manualLayout>
                  <c:x val="-0.10073772867431548"/>
                  <c:y val="-1.05214509734302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5"/>
              <c:layout>
                <c:manualLayout>
                  <c:x val="0"/>
                  <c:y val="-9.0182851056275527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6"/>
              <c:layout>
                <c:manualLayout>
                  <c:x val="7.749049346800466E-3"/>
                  <c:y val="-6.0431978223563524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7"/>
              <c:layout>
                <c:manualLayout>
                  <c:x val="-1.3072184268732499E-2"/>
                  <c:y val="4.353547547192141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8"/>
              <c:layout>
                <c:manualLayout>
                  <c:x val="-9.0985758580089324E-2"/>
                  <c:y val="4.954954954954955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9"/>
              <c:layout>
                <c:manualLayout>
                  <c:x val="-3.1451836589135002E-2"/>
                  <c:y val="3.45345345345345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0"/>
              <c:layout>
                <c:manualLayout>
                  <c:x val="4.7177754883702502E-2"/>
                  <c:y val="0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1"/>
              <c:layout>
                <c:manualLayout>
                  <c:x val="0.21791629636757823"/>
                  <c:y val="3.003003003003003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numFmt formatCode="0.0%" sourceLinked="0"/>
            <c:txPr>
              <a:bodyPr/>
              <a:lstStyle/>
              <a:p>
                <a:pPr>
                  <a:defRPr sz="1800"/>
                </a:pPr>
                <a:endParaRPr lang="zh-TW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Surgery手術數!$A$90:$A$97</c:f>
              <c:strCache>
                <c:ptCount val="8"/>
                <c:pt idx="0">
                  <c:v>Non-Malignant Meningioma</c:v>
                </c:pt>
                <c:pt idx="1">
                  <c:v>Non-Malignant Pituitary tumors</c:v>
                </c:pt>
                <c:pt idx="2">
                  <c:v>All Other Non-Malignant tumors</c:v>
                </c:pt>
                <c:pt idx="3">
                  <c:v>Non-Malignant Schwannoma</c:v>
                </c:pt>
                <c:pt idx="4">
                  <c:v>Glioblastoma and Malignant Grade 4 Glioma</c:v>
                </c:pt>
                <c:pt idx="5">
                  <c:v>All Other Glioma</c:v>
                </c:pt>
                <c:pt idx="6">
                  <c:v>All Other Malignant tumors</c:v>
                </c:pt>
                <c:pt idx="7">
                  <c:v>Metastatic tumors</c:v>
                </c:pt>
              </c:strCache>
            </c:strRef>
          </c:cat>
          <c:val>
            <c:numRef>
              <c:f>Surgery手術數!$B$90:$B$97</c:f>
              <c:numCache>
                <c:formatCode>General</c:formatCode>
                <c:ptCount val="8"/>
                <c:pt idx="0">
                  <c:v>682</c:v>
                </c:pt>
                <c:pt idx="1">
                  <c:v>546</c:v>
                </c:pt>
                <c:pt idx="2">
                  <c:v>161</c:v>
                </c:pt>
                <c:pt idx="3">
                  <c:v>124</c:v>
                </c:pt>
                <c:pt idx="4">
                  <c:v>543</c:v>
                </c:pt>
                <c:pt idx="5">
                  <c:v>363</c:v>
                </c:pt>
                <c:pt idx="6">
                  <c:v>271</c:v>
                </c:pt>
                <c:pt idx="7">
                  <c:v>619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400"/>
            </a:pPr>
            <a:r>
              <a:rPr lang="en-US" altLang="zh-TW" sz="2400"/>
              <a:t>2313 Patients of Primary</a:t>
            </a:r>
            <a:r>
              <a:rPr lang="en-US" altLang="zh-TW" sz="2400" baseline="0"/>
              <a:t> Tumors</a:t>
            </a:r>
            <a:endParaRPr lang="zh-TW" altLang="en-US" sz="2400"/>
          </a:p>
        </c:rich>
      </c:tx>
      <c:layout>
        <c:manualLayout>
          <c:xMode val="edge"/>
          <c:yMode val="edge"/>
          <c:x val="2.4939387005742053E-2"/>
          <c:y val="1.492798390437304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4145824208152191"/>
          <c:y val="4.6039055565418076E-2"/>
          <c:w val="0.6544754831341737"/>
          <c:h val="0.87484512071126241"/>
        </c:manualLayout>
      </c:layout>
      <c:pieChart>
        <c:varyColors val="1"/>
        <c:ser>
          <c:idx val="0"/>
          <c:order val="0"/>
          <c:tx>
            <c:strRef>
              <c:f>Patient病人數!$B$102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FF00"/>
            </a:solidFill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solidFill>
                  <a:schemeClr val="bg1"/>
                </a:solidFill>
              </a:ln>
            </c:spPr>
          </c:dPt>
          <c:dPt>
            <c:idx val="1"/>
            <c:bubble3D val="0"/>
            <c:spPr>
              <a:solidFill>
                <a:srgbClr val="0070C0"/>
              </a:solidFill>
              <a:ln>
                <a:solidFill>
                  <a:schemeClr val="bg1"/>
                </a:solidFill>
              </a:ln>
            </c:spPr>
          </c:dPt>
          <c:dPt>
            <c:idx val="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</c:spPr>
          </c:dPt>
          <c:dPt>
            <c:idx val="3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solidFill>
                  <a:schemeClr val="bg1"/>
                </a:solidFill>
              </a:ln>
            </c:spPr>
          </c:dPt>
          <c:dPt>
            <c:idx val="4"/>
            <c:bubble3D val="0"/>
            <c:spPr>
              <a:solidFill>
                <a:srgbClr val="CC3300"/>
              </a:solidFill>
              <a:ln>
                <a:solidFill>
                  <a:schemeClr val="bg1"/>
                </a:solidFill>
              </a:ln>
            </c:spPr>
          </c:dPt>
          <c:dPt>
            <c:idx val="5"/>
            <c:bubble3D val="0"/>
            <c:spPr>
              <a:solidFill>
                <a:srgbClr val="FF0000"/>
              </a:solidFill>
              <a:ln>
                <a:solidFill>
                  <a:schemeClr val="bg1"/>
                </a:solidFill>
              </a:ln>
            </c:spPr>
          </c:dPt>
          <c:dPt>
            <c:idx val="6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</c:spPr>
          </c:dPt>
          <c:dPt>
            <c:idx val="7"/>
            <c:bubble3D val="0"/>
          </c:dPt>
          <c:dPt>
            <c:idx val="8"/>
            <c:bubble3D val="0"/>
          </c:dPt>
          <c:dPt>
            <c:idx val="9"/>
            <c:bubble3D val="0"/>
          </c:dPt>
          <c:dPt>
            <c:idx val="10"/>
            <c:bubble3D val="0"/>
          </c:dPt>
          <c:dPt>
            <c:idx val="11"/>
            <c:bubble3D val="0"/>
          </c:dPt>
          <c:dPt>
            <c:idx val="12"/>
            <c:bubble3D val="0"/>
          </c:dPt>
          <c:dPt>
            <c:idx val="13"/>
            <c:bubble3D val="0"/>
          </c:dPt>
          <c:dPt>
            <c:idx val="14"/>
            <c:bubble3D val="0"/>
          </c:dPt>
          <c:dPt>
            <c:idx val="15"/>
            <c:bubble3D val="0"/>
          </c:dPt>
          <c:dLbls>
            <c:dLbl>
              <c:idx val="0"/>
              <c:layout>
                <c:manualLayout>
                  <c:x val="-4.3629152638403118E-3"/>
                  <c:y val="4.054985502100715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2"/>
              <c:layout>
                <c:manualLayout>
                  <c:x val="3.3210211486287715E-2"/>
                  <c:y val="-6.012308420616494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3"/>
              <c:layout>
                <c:manualLayout>
                  <c:x val="-1.4391091644058008E-2"/>
                  <c:y val="-3.156399786969631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4"/>
              <c:layout>
                <c:manualLayout>
                  <c:x val="-0.10073772867431548"/>
                  <c:y val="-1.05214509734302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5"/>
              <c:layout>
                <c:manualLayout>
                  <c:x val="-8.8561435622527985E-3"/>
                  <c:y val="3.006095035209181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6"/>
              <c:layout>
                <c:manualLayout>
                  <c:x val="-7.0848451170747118E-2"/>
                  <c:y val="6.012190070418368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7"/>
              <c:layout>
                <c:manualLayout>
                  <c:x val="-1.3072184268732499E-2"/>
                  <c:y val="4.353547547192141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8"/>
              <c:layout>
                <c:manualLayout>
                  <c:x val="-9.0985758580089324E-2"/>
                  <c:y val="4.954954954954955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9"/>
              <c:layout>
                <c:manualLayout>
                  <c:x val="-3.1451836589135002E-2"/>
                  <c:y val="3.45345345345345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0"/>
              <c:layout>
                <c:manualLayout>
                  <c:x val="4.7177754883702502E-2"/>
                  <c:y val="0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1"/>
              <c:layout>
                <c:manualLayout>
                  <c:x val="0.21791629636757823"/>
                  <c:y val="3.003003003003003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numFmt formatCode="0.0%" sourceLinked="0"/>
            <c:txPr>
              <a:bodyPr/>
              <a:lstStyle/>
              <a:p>
                <a:pPr>
                  <a:defRPr sz="1800"/>
                </a:pPr>
                <a:endParaRPr lang="zh-TW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Patient病人數!$A$103:$A$109</c:f>
              <c:strCache>
                <c:ptCount val="7"/>
                <c:pt idx="0">
                  <c:v>Non-Malignant Meningioma</c:v>
                </c:pt>
                <c:pt idx="1">
                  <c:v>Non-Malignant Pituitary tumors</c:v>
                </c:pt>
                <c:pt idx="2">
                  <c:v>All Other Non-Malignant tumors</c:v>
                </c:pt>
                <c:pt idx="3">
                  <c:v>Non-Malignant Schwannoma</c:v>
                </c:pt>
                <c:pt idx="4">
                  <c:v>Glioblastoma and Malignant Grade 4 Glioma</c:v>
                </c:pt>
                <c:pt idx="5">
                  <c:v>All Other Glioma</c:v>
                </c:pt>
                <c:pt idx="6">
                  <c:v>All Other Malignant tumors</c:v>
                </c:pt>
              </c:strCache>
            </c:strRef>
          </c:cat>
          <c:val>
            <c:numRef>
              <c:f>Patient病人數!$B$103:$B$109</c:f>
              <c:numCache>
                <c:formatCode>General</c:formatCode>
                <c:ptCount val="7"/>
                <c:pt idx="0">
                  <c:v>656</c:v>
                </c:pt>
                <c:pt idx="1">
                  <c:v>520</c:v>
                </c:pt>
                <c:pt idx="2">
                  <c:v>148</c:v>
                </c:pt>
                <c:pt idx="3">
                  <c:v>122</c:v>
                </c:pt>
                <c:pt idx="4">
                  <c:v>368</c:v>
                </c:pt>
                <c:pt idx="5">
                  <c:v>272</c:v>
                </c:pt>
                <c:pt idx="6">
                  <c:v>227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40987805727823845"/>
          <c:y val="4.1014043860631164E-2"/>
          <c:w val="0.57676526606740519"/>
          <c:h val="0.84324215397245961"/>
        </c:manualLayout>
      </c:layout>
      <c:barChart>
        <c:barDir val="bar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rgbClr val="FFC000"/>
              </a:solidFill>
            </c:spPr>
          </c:dPt>
          <c:dPt>
            <c:idx val="1"/>
            <c:invertIfNegative val="0"/>
            <c:bubble3D val="0"/>
            <c:spPr/>
          </c:dPt>
          <c:dPt>
            <c:idx val="7"/>
            <c:invertIfNegative val="0"/>
            <c:bubble3D val="0"/>
            <c:spPr/>
          </c:dPt>
          <c:dPt>
            <c:idx val="8"/>
            <c:invertIfNegative val="0"/>
            <c:bubble3D val="0"/>
            <c:spPr>
              <a:solidFill>
                <a:srgbClr val="FFC000"/>
              </a:solidFill>
            </c:spPr>
          </c:dPt>
          <c:dPt>
            <c:idx val="9"/>
            <c:invertIfNegative val="0"/>
            <c:bubble3D val="0"/>
            <c:spPr>
              <a:solidFill>
                <a:srgbClr val="FFC000"/>
              </a:solidFill>
            </c:spPr>
          </c:dPt>
          <c:dPt>
            <c:idx val="10"/>
            <c:invertIfNegative val="0"/>
            <c:bubble3D val="0"/>
            <c:spPr>
              <a:solidFill>
                <a:srgbClr val="FFC000"/>
              </a:solidFill>
            </c:spPr>
          </c:dPt>
          <c:dPt>
            <c:idx val="12"/>
            <c:invertIfNegative val="0"/>
            <c:bubble3D val="0"/>
            <c:spPr>
              <a:solidFill>
                <a:srgbClr val="FFC000"/>
              </a:solidFill>
            </c:spPr>
          </c:dPt>
          <c:dPt>
            <c:idx val="13"/>
            <c:invertIfNegative val="0"/>
            <c:bubble3D val="0"/>
            <c:spPr>
              <a:solidFill>
                <a:srgbClr val="FFC000"/>
              </a:solidFill>
            </c:spPr>
          </c:dPt>
          <c:dPt>
            <c:idx val="17"/>
            <c:invertIfNegative val="0"/>
            <c:bubble3D val="0"/>
            <c:spPr/>
          </c:dPt>
          <c:dLbls>
            <c:dLbl>
              <c:idx val="3"/>
              <c:layout>
                <c:manualLayout>
                  <c:x val="1.101708517226514E-16"/>
                  <c:y val="2.2200968639319828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sz="1400"/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Patient病人數!$A$136:$A$151</c:f>
              <c:strCache>
                <c:ptCount val="16"/>
                <c:pt idx="0">
                  <c:v>Diffuse glioma, low-grade</c:v>
                </c:pt>
                <c:pt idx="1">
                  <c:v>Diffuse glioma, grade 3</c:v>
                </c:pt>
                <c:pt idx="2">
                  <c:v>Diffuse glioma, grade 4</c:v>
                </c:pt>
                <c:pt idx="3">
                  <c:v>Other astrocytic glioma</c:v>
                </c:pt>
                <c:pt idx="4">
                  <c:v>Ependymal tumors</c:v>
                </c:pt>
                <c:pt idx="5">
                  <c:v>Neuronal and mixed neuronal-glial tumors</c:v>
                </c:pt>
                <c:pt idx="6">
                  <c:v>Embryonal tumors</c:v>
                </c:pt>
                <c:pt idx="7">
                  <c:v>Germ cell tumors</c:v>
                </c:pt>
                <c:pt idx="8">
                  <c:v>Lymphoma</c:v>
                </c:pt>
                <c:pt idx="9">
                  <c:v>Other malignant tumors</c:v>
                </c:pt>
                <c:pt idx="10">
                  <c:v>Meningioma, grade 1-2</c:v>
                </c:pt>
                <c:pt idx="11">
                  <c:v>Meningioma, grade 3</c:v>
                </c:pt>
                <c:pt idx="12">
                  <c:v>Pituitary tumors</c:v>
                </c:pt>
                <c:pt idx="13">
                  <c:v>Schwannoma</c:v>
                </c:pt>
                <c:pt idx="14">
                  <c:v>Other benign tumors</c:v>
                </c:pt>
                <c:pt idx="15">
                  <c:v>Metastatic tumors</c:v>
                </c:pt>
              </c:strCache>
            </c:strRef>
          </c:cat>
          <c:val>
            <c:numRef>
              <c:f>Patient病人數!$B$136:$B$151</c:f>
              <c:numCache>
                <c:formatCode>0.00_);[Red]\(0.00\)</c:formatCode>
                <c:ptCount val="16"/>
                <c:pt idx="0">
                  <c:v>0.94202898550724634</c:v>
                </c:pt>
                <c:pt idx="1">
                  <c:v>1.1304347826086956</c:v>
                </c:pt>
                <c:pt idx="2">
                  <c:v>1.2168674698795181</c:v>
                </c:pt>
                <c:pt idx="3">
                  <c:v>1.375</c:v>
                </c:pt>
                <c:pt idx="4">
                  <c:v>1.3333333333333333</c:v>
                </c:pt>
                <c:pt idx="5">
                  <c:v>1.4666666666666666</c:v>
                </c:pt>
                <c:pt idx="6">
                  <c:v>1.8333333333333333</c:v>
                </c:pt>
                <c:pt idx="7">
                  <c:v>3</c:v>
                </c:pt>
                <c:pt idx="8">
                  <c:v>0.75</c:v>
                </c:pt>
                <c:pt idx="9">
                  <c:v>0.73076923076923073</c:v>
                </c:pt>
                <c:pt idx="10">
                  <c:v>0.40170940170940173</c:v>
                </c:pt>
                <c:pt idx="11">
                  <c:v>1.2222222222222223</c:v>
                </c:pt>
                <c:pt idx="12">
                  <c:v>0.91881918819188191</c:v>
                </c:pt>
                <c:pt idx="13">
                  <c:v>0.87692307692307692</c:v>
                </c:pt>
                <c:pt idx="14">
                  <c:v>1.5517241379310345</c:v>
                </c:pt>
                <c:pt idx="15">
                  <c:v>1.0143369175627239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595329024"/>
        <c:axId val="593402048"/>
      </c:barChart>
      <c:catAx>
        <c:axId val="595329024"/>
        <c:scaling>
          <c:orientation val="maxMin"/>
        </c:scaling>
        <c:delete val="0"/>
        <c:axPos val="l"/>
        <c:majorTickMark val="none"/>
        <c:minorTickMark val="none"/>
        <c:tickLblPos val="low"/>
        <c:txPr>
          <a:bodyPr/>
          <a:lstStyle/>
          <a:p>
            <a:pPr>
              <a:defRPr sz="1500"/>
            </a:pPr>
            <a:endParaRPr lang="zh-TW"/>
          </a:p>
        </c:txPr>
        <c:crossAx val="593402048"/>
        <c:crossesAt val="1"/>
        <c:auto val="1"/>
        <c:lblAlgn val="ctr"/>
        <c:lblOffset val="100"/>
        <c:tickLblSkip val="1"/>
        <c:noMultiLvlLbl val="0"/>
      </c:catAx>
      <c:valAx>
        <c:axId val="593402048"/>
        <c:scaling>
          <c:orientation val="minMax"/>
          <c:max val="3.5"/>
          <c:min val="-1"/>
        </c:scaling>
        <c:delete val="1"/>
        <c:axPos val="t"/>
        <c:numFmt formatCode="#,##0.0_ " sourceLinked="0"/>
        <c:majorTickMark val="none"/>
        <c:minorTickMark val="none"/>
        <c:tickLblPos val="high"/>
        <c:crossAx val="595329024"/>
        <c:crosses val="autoZero"/>
        <c:crossBetween val="between"/>
        <c:majorUnit val="2"/>
        <c:minorUnit val="0.1"/>
      </c:valAx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4.xml"/><Relationship Id="rId3" Type="http://schemas.openxmlformats.org/officeDocument/2006/relationships/chart" Target="../charts/chart9.xml"/><Relationship Id="rId7" Type="http://schemas.openxmlformats.org/officeDocument/2006/relationships/chart" Target="../charts/chart13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Relationship Id="rId9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124030</xdr:colOff>
      <xdr:row>23</xdr:row>
      <xdr:rowOff>194228</xdr:rowOff>
    </xdr:from>
    <xdr:to>
      <xdr:col>53</xdr:col>
      <xdr:colOff>587784</xdr:colOff>
      <xdr:row>64</xdr:row>
      <xdr:rowOff>54663</xdr:rowOff>
    </xdr:to>
    <xdr:graphicFrame macro="">
      <xdr:nvGraphicFramePr>
        <xdr:cNvPr id="2" name="圖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290719</xdr:colOff>
      <xdr:row>24</xdr:row>
      <xdr:rowOff>112850</xdr:rowOff>
    </xdr:from>
    <xdr:to>
      <xdr:col>38</xdr:col>
      <xdr:colOff>71157</xdr:colOff>
      <xdr:row>64</xdr:row>
      <xdr:rowOff>180350</xdr:rowOff>
    </xdr:to>
    <xdr:graphicFrame macro="">
      <xdr:nvGraphicFramePr>
        <xdr:cNvPr id="4" name="圖表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460102</xdr:colOff>
      <xdr:row>24</xdr:row>
      <xdr:rowOff>161926</xdr:rowOff>
    </xdr:from>
    <xdr:to>
      <xdr:col>21</xdr:col>
      <xdr:colOff>573915</xdr:colOff>
      <xdr:row>65</xdr:row>
      <xdr:rowOff>15113</xdr:rowOff>
    </xdr:to>
    <xdr:graphicFrame macro="">
      <xdr:nvGraphicFramePr>
        <xdr:cNvPr id="5" name="圖表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47</xdr:row>
      <xdr:rowOff>0</xdr:rowOff>
    </xdr:from>
    <xdr:to>
      <xdr:col>11</xdr:col>
      <xdr:colOff>661500</xdr:colOff>
      <xdr:row>87</xdr:row>
      <xdr:rowOff>67500</xdr:rowOff>
    </xdr:to>
    <xdr:graphicFrame macro="">
      <xdr:nvGraphicFramePr>
        <xdr:cNvPr id="6" name="圖表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66675</xdr:colOff>
      <xdr:row>91</xdr:row>
      <xdr:rowOff>171450</xdr:rowOff>
    </xdr:from>
    <xdr:to>
      <xdr:col>14</xdr:col>
      <xdr:colOff>623400</xdr:colOff>
      <xdr:row>132</xdr:row>
      <xdr:rowOff>29400</xdr:rowOff>
    </xdr:to>
    <xdr:graphicFrame macro="">
      <xdr:nvGraphicFramePr>
        <xdr:cNvPr id="7" name="圖表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95249</xdr:colOff>
      <xdr:row>132</xdr:row>
      <xdr:rowOff>9524</xdr:rowOff>
    </xdr:from>
    <xdr:to>
      <xdr:col>14</xdr:col>
      <xdr:colOff>209551</xdr:colOff>
      <xdr:row>164</xdr:row>
      <xdr:rowOff>0</xdr:rowOff>
    </xdr:to>
    <xdr:graphicFrame macro="">
      <xdr:nvGraphicFramePr>
        <xdr:cNvPr id="3" name="圖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542925</xdr:colOff>
      <xdr:row>46</xdr:row>
      <xdr:rowOff>9525</xdr:rowOff>
    </xdr:from>
    <xdr:to>
      <xdr:col>17</xdr:col>
      <xdr:colOff>366225</xdr:colOff>
      <xdr:row>87</xdr:row>
      <xdr:rowOff>57975</xdr:rowOff>
    </xdr:to>
    <xdr:graphicFrame macro="">
      <xdr:nvGraphicFramePr>
        <xdr:cNvPr id="2" name="圖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647700</xdr:colOff>
      <xdr:row>45</xdr:row>
      <xdr:rowOff>47625</xdr:rowOff>
    </xdr:from>
    <xdr:to>
      <xdr:col>29</xdr:col>
      <xdr:colOff>318600</xdr:colOff>
      <xdr:row>86</xdr:row>
      <xdr:rowOff>96075</xdr:rowOff>
    </xdr:to>
    <xdr:graphicFrame macro="">
      <xdr:nvGraphicFramePr>
        <xdr:cNvPr id="3" name="圖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581025</xdr:colOff>
      <xdr:row>45</xdr:row>
      <xdr:rowOff>190500</xdr:rowOff>
    </xdr:from>
    <xdr:to>
      <xdr:col>45</xdr:col>
      <xdr:colOff>442425</xdr:colOff>
      <xdr:row>87</xdr:row>
      <xdr:rowOff>29400</xdr:rowOff>
    </xdr:to>
    <xdr:graphicFrame macro="">
      <xdr:nvGraphicFramePr>
        <xdr:cNvPr id="4" name="圖表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564697</xdr:colOff>
      <xdr:row>2</xdr:row>
      <xdr:rowOff>9272</xdr:rowOff>
    </xdr:from>
    <xdr:to>
      <xdr:col>55</xdr:col>
      <xdr:colOff>411809</xdr:colOff>
      <xdr:row>43</xdr:row>
      <xdr:rowOff>187897</xdr:rowOff>
    </xdr:to>
    <xdr:graphicFrame macro="">
      <xdr:nvGraphicFramePr>
        <xdr:cNvPr id="6" name="圖表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368896</xdr:colOff>
      <xdr:row>2</xdr:row>
      <xdr:rowOff>51528</xdr:rowOff>
    </xdr:from>
    <xdr:to>
      <xdr:col>40</xdr:col>
      <xdr:colOff>260590</xdr:colOff>
      <xdr:row>44</xdr:row>
      <xdr:rowOff>23778</xdr:rowOff>
    </xdr:to>
    <xdr:graphicFrame macro="">
      <xdr:nvGraphicFramePr>
        <xdr:cNvPr id="7" name="圖表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52</xdr:col>
      <xdr:colOff>627207</xdr:colOff>
      <xdr:row>1</xdr:row>
      <xdr:rowOff>167696</xdr:rowOff>
    </xdr:from>
    <xdr:to>
      <xdr:col>69</xdr:col>
      <xdr:colOff>488606</xdr:colOff>
      <xdr:row>43</xdr:row>
      <xdr:rowOff>139946</xdr:rowOff>
    </xdr:to>
    <xdr:graphicFrame macro="">
      <xdr:nvGraphicFramePr>
        <xdr:cNvPr id="8" name="圖表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0</xdr:colOff>
      <xdr:row>93</xdr:row>
      <xdr:rowOff>0</xdr:rowOff>
    </xdr:from>
    <xdr:to>
      <xdr:col>17</xdr:col>
      <xdr:colOff>1156800</xdr:colOff>
      <xdr:row>133</xdr:row>
      <xdr:rowOff>67500</xdr:rowOff>
    </xdr:to>
    <xdr:graphicFrame macro="">
      <xdr:nvGraphicFramePr>
        <xdr:cNvPr id="9" name="圖表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17</xdr:col>
      <xdr:colOff>1371600</xdr:colOff>
      <xdr:row>92</xdr:row>
      <xdr:rowOff>142875</xdr:rowOff>
    </xdr:from>
    <xdr:to>
      <xdr:col>34</xdr:col>
      <xdr:colOff>356700</xdr:colOff>
      <xdr:row>133</xdr:row>
      <xdr:rowOff>825</xdr:rowOff>
    </xdr:to>
    <xdr:graphicFrame macro="">
      <xdr:nvGraphicFramePr>
        <xdr:cNvPr id="10" name="圖表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</xdr:col>
      <xdr:colOff>28575</xdr:colOff>
      <xdr:row>135</xdr:row>
      <xdr:rowOff>114300</xdr:rowOff>
    </xdr:from>
    <xdr:to>
      <xdr:col>13</xdr:col>
      <xdr:colOff>1085850</xdr:colOff>
      <xdr:row>164</xdr:row>
      <xdr:rowOff>66675</xdr:rowOff>
    </xdr:to>
    <xdr:graphicFrame macro="">
      <xdr:nvGraphicFramePr>
        <xdr:cNvPr id="11" name="圖表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0.38153</cdr:x>
      <cdr:y>0.93309</cdr:y>
    </cdr:from>
    <cdr:to>
      <cdr:x>0.68463</cdr:x>
      <cdr:y>0.98135</cdr:y>
    </cdr:to>
    <cdr:sp macro="" textlink="">
      <cdr:nvSpPr>
        <cdr:cNvPr id="3" name="矩形 2"/>
        <cdr:cNvSpPr/>
      </cdr:nvSpPr>
      <cdr:spPr>
        <a:xfrm xmlns:a="http://schemas.openxmlformats.org/drawingml/2006/main">
          <a:off x="3291100" y="5705220"/>
          <a:ext cx="2614523" cy="29507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3175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1600" b="1">
              <a:solidFill>
                <a:sysClr val="windowText" lastClr="000000"/>
              </a:solidFill>
            </a:rPr>
            <a:t>Higher Number in Females</a:t>
          </a:r>
          <a:endParaRPr lang="zh-TW" sz="1600" b="1">
            <a:solidFill>
              <a:sysClr val="windowText" lastClr="000000"/>
            </a:solidFill>
          </a:endParaRPr>
        </a:p>
      </cdr:txBody>
    </cdr:sp>
  </cdr:relSizeAnchor>
  <cdr:relSizeAnchor xmlns:cdr="http://schemas.openxmlformats.org/drawingml/2006/chartDrawing">
    <cdr:from>
      <cdr:x>0.63975</cdr:x>
      <cdr:y>0.88994</cdr:y>
    </cdr:from>
    <cdr:to>
      <cdr:x>0.69358</cdr:x>
      <cdr:y>0.9382</cdr:y>
    </cdr:to>
    <cdr:sp macro="" textlink="">
      <cdr:nvSpPr>
        <cdr:cNvPr id="4" name="矩形 3"/>
        <cdr:cNvSpPr/>
      </cdr:nvSpPr>
      <cdr:spPr>
        <a:xfrm xmlns:a="http://schemas.openxmlformats.org/drawingml/2006/main">
          <a:off x="5508626" y="5365750"/>
          <a:ext cx="463550" cy="29097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1600" b="1">
              <a:solidFill>
                <a:sysClr val="windowText" lastClr="000000"/>
              </a:solidFill>
            </a:rPr>
            <a:t>1.0</a:t>
          </a:r>
          <a:endParaRPr lang="zh-TW" sz="1600" b="1">
            <a:solidFill>
              <a:sysClr val="windowText" lastClr="000000"/>
            </a:solidFill>
          </a:endParaRPr>
        </a:p>
      </cdr:txBody>
    </cdr:sp>
  </cdr:relSizeAnchor>
  <cdr:relSizeAnchor xmlns:cdr="http://schemas.openxmlformats.org/drawingml/2006/chartDrawing">
    <cdr:from>
      <cdr:x>0.69078</cdr:x>
      <cdr:y>0.93265</cdr:y>
    </cdr:from>
    <cdr:to>
      <cdr:x>0.95627</cdr:x>
      <cdr:y>0.98091</cdr:y>
    </cdr:to>
    <cdr:sp macro="" textlink="">
      <cdr:nvSpPr>
        <cdr:cNvPr id="5" name="矩形 4"/>
        <cdr:cNvSpPr/>
      </cdr:nvSpPr>
      <cdr:spPr>
        <a:xfrm xmlns:a="http://schemas.openxmlformats.org/drawingml/2006/main">
          <a:off x="5958641" y="5702517"/>
          <a:ext cx="2290094" cy="29507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3175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TW" sz="1600" b="1">
              <a:solidFill>
                <a:sysClr val="windowText" lastClr="000000"/>
              </a:solidFill>
            </a:rPr>
            <a:t>Higher Number in Males</a:t>
          </a:r>
          <a:endParaRPr lang="zh-TW" sz="1600" b="1">
            <a:solidFill>
              <a:sysClr val="windowText" lastClr="000000"/>
            </a:solidFill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ab.WKC/Documents/other/wei/cc2010_2019/table_plo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tho_gender_site"/>
      <sheetName val="patho_age_site"/>
      <sheetName val="age"/>
      <sheetName val="basic_clinical"/>
      <sheetName val="treatment"/>
      <sheetName val="cause_readmission"/>
      <sheetName val="next_neurosurgy"/>
      <sheetName val="molecular"/>
      <sheetName val="癌症中心年報"/>
    </sheetNames>
    <sheetDataSet>
      <sheetData sheetId="0">
        <row r="1">
          <cell r="Y1" t="str">
            <v>Male:Female number ratio</v>
          </cell>
        </row>
        <row r="2">
          <cell r="X2" t="str">
            <v>Glioblastoma</v>
          </cell>
          <cell r="Y2">
            <v>1.3926380368098159</v>
          </cell>
        </row>
        <row r="3">
          <cell r="X3" t="str">
            <v>Lymphoma</v>
          </cell>
          <cell r="Y3">
            <v>0.97826086956521741</v>
          </cell>
        </row>
        <row r="4">
          <cell r="X4" t="str">
            <v>Diffuse astrocytoma</v>
          </cell>
          <cell r="Y4">
            <v>1.1190476190476191</v>
          </cell>
        </row>
        <row r="5">
          <cell r="X5" t="str">
            <v>Germ cell tumor</v>
          </cell>
          <cell r="Y5">
            <v>3.8666666666666667</v>
          </cell>
        </row>
        <row r="6">
          <cell r="X6" t="str">
            <v>Oligodendroglioma</v>
          </cell>
          <cell r="Y6">
            <v>1.1212121212121211</v>
          </cell>
        </row>
        <row r="7">
          <cell r="X7" t="str">
            <v>Anaplastic astrocytoma</v>
          </cell>
          <cell r="Y7">
            <v>1.6</v>
          </cell>
        </row>
        <row r="8">
          <cell r="X8" t="str">
            <v>Anaplastic oligodendroglioma</v>
          </cell>
          <cell r="Y8">
            <v>1</v>
          </cell>
        </row>
        <row r="9">
          <cell r="X9" t="str">
            <v>Imaging proved only</v>
          </cell>
          <cell r="Y9">
            <v>0.95652173913043481</v>
          </cell>
        </row>
        <row r="10">
          <cell r="X10" t="str">
            <v>Ependymal tumor</v>
          </cell>
          <cell r="Y10">
            <v>1.3157894736842106</v>
          </cell>
        </row>
        <row r="11">
          <cell r="X11" t="str">
            <v>Oligoastrocytoma</v>
          </cell>
          <cell r="Y11">
            <v>1.4375</v>
          </cell>
        </row>
        <row r="12">
          <cell r="X12" t="str">
            <v>Other malignant tumor</v>
          </cell>
          <cell r="Y12">
            <v>0.60869565217391308</v>
          </cell>
        </row>
        <row r="13">
          <cell r="X13" t="str">
            <v>Anaplastic oligoastrocytoma</v>
          </cell>
          <cell r="Y13">
            <v>1.1875</v>
          </cell>
        </row>
        <row r="14">
          <cell r="X14" t="str">
            <v>Medulloblastoma</v>
          </cell>
          <cell r="Y14">
            <v>1.5833333333333333</v>
          </cell>
        </row>
        <row r="15">
          <cell r="X15" t="str">
            <v>Other astrocytic tumor</v>
          </cell>
          <cell r="Y15">
            <v>1.2727272727272727</v>
          </cell>
        </row>
        <row r="16">
          <cell r="X16" t="str">
            <v>Glioma, NOS</v>
          </cell>
          <cell r="Y16">
            <v>2.125</v>
          </cell>
        </row>
        <row r="17">
          <cell r="X17" t="str">
            <v>Other embryonal tumor</v>
          </cell>
          <cell r="Y17">
            <v>1.4</v>
          </cell>
        </row>
        <row r="18">
          <cell r="X18" t="str">
            <v>Neuronal/ mixed neuronal-glial tumor</v>
          </cell>
          <cell r="Y18">
            <v>1</v>
          </cell>
        </row>
        <row r="19">
          <cell r="X19" t="str">
            <v>Meningioma</v>
          </cell>
          <cell r="Y19">
            <v>0.66666666666666663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4"/>
  <sheetViews>
    <sheetView tabSelected="1" topLeftCell="B129" zoomScaleNormal="100" workbookViewId="0">
      <selection activeCell="G158" sqref="G158"/>
    </sheetView>
  </sheetViews>
  <sheetFormatPr defaultRowHeight="16.5" x14ac:dyDescent="0.25"/>
  <cols>
    <col min="1" max="1" width="33.75" customWidth="1"/>
    <col min="11" max="11" width="27.125" customWidth="1"/>
    <col min="12" max="12" width="21.25" customWidth="1"/>
    <col min="14" max="14" width="13.875" customWidth="1"/>
    <col min="16" max="16" width="14.875" customWidth="1"/>
  </cols>
  <sheetData>
    <row r="1" spans="1:17" ht="19.5" x14ac:dyDescent="0.3">
      <c r="A1" s="4" t="s">
        <v>23</v>
      </c>
    </row>
    <row r="2" spans="1:17" ht="19.5" x14ac:dyDescent="0.3">
      <c r="A2" s="3"/>
    </row>
    <row r="3" spans="1:17" x14ac:dyDescent="0.25">
      <c r="A3" s="1" t="s">
        <v>0</v>
      </c>
    </row>
    <row r="4" spans="1:17" x14ac:dyDescent="0.25">
      <c r="B4" t="s">
        <v>22</v>
      </c>
      <c r="C4" t="s">
        <v>20</v>
      </c>
      <c r="D4" t="s">
        <v>21</v>
      </c>
      <c r="E4" s="2"/>
      <c r="F4" t="s">
        <v>24</v>
      </c>
      <c r="G4" t="s">
        <v>25</v>
      </c>
      <c r="H4" t="s">
        <v>26</v>
      </c>
      <c r="K4" s="6" t="s">
        <v>29</v>
      </c>
      <c r="L4" t="s">
        <v>36</v>
      </c>
      <c r="M4" s="1" t="s">
        <v>24</v>
      </c>
      <c r="N4" t="s">
        <v>37</v>
      </c>
      <c r="O4" s="1" t="s">
        <v>25</v>
      </c>
      <c r="P4" t="s">
        <v>38</v>
      </c>
      <c r="Q4" s="1" t="s">
        <v>31</v>
      </c>
    </row>
    <row r="5" spans="1:17" x14ac:dyDescent="0.25">
      <c r="A5" s="1" t="s">
        <v>1</v>
      </c>
      <c r="K5" s="7" t="s">
        <v>30</v>
      </c>
      <c r="L5" s="21" t="s">
        <v>17</v>
      </c>
      <c r="M5">
        <v>27</v>
      </c>
      <c r="N5" s="22" t="s">
        <v>14</v>
      </c>
      <c r="O5">
        <v>124</v>
      </c>
      <c r="P5" s="17" t="s">
        <v>12</v>
      </c>
      <c r="Q5">
        <v>627</v>
      </c>
    </row>
    <row r="6" spans="1:17" x14ac:dyDescent="0.25">
      <c r="A6" t="s">
        <v>2</v>
      </c>
      <c r="B6">
        <v>167</v>
      </c>
      <c r="C6">
        <v>81</v>
      </c>
      <c r="D6">
        <v>86</v>
      </c>
      <c r="F6">
        <v>5</v>
      </c>
      <c r="G6">
        <v>57</v>
      </c>
      <c r="H6">
        <v>105</v>
      </c>
      <c r="L6" s="12" t="s">
        <v>6</v>
      </c>
      <c r="M6">
        <v>15</v>
      </c>
      <c r="N6" s="10" t="s">
        <v>4</v>
      </c>
      <c r="O6">
        <v>91</v>
      </c>
      <c r="P6" s="24" t="s">
        <v>18</v>
      </c>
      <c r="Q6">
        <v>593</v>
      </c>
    </row>
    <row r="7" spans="1:17" x14ac:dyDescent="0.25">
      <c r="A7" t="s">
        <v>3</v>
      </c>
      <c r="B7">
        <v>140</v>
      </c>
      <c r="C7">
        <v>69</v>
      </c>
      <c r="D7">
        <v>71</v>
      </c>
      <c r="F7">
        <v>2</v>
      </c>
      <c r="G7">
        <v>31</v>
      </c>
      <c r="H7">
        <v>107</v>
      </c>
      <c r="L7" s="15" t="s">
        <v>9</v>
      </c>
      <c r="M7">
        <v>15</v>
      </c>
      <c r="N7" s="8" t="s">
        <v>2</v>
      </c>
      <c r="O7">
        <v>57</v>
      </c>
      <c r="P7" s="10" t="s">
        <v>4</v>
      </c>
      <c r="Q7">
        <v>439</v>
      </c>
    </row>
    <row r="8" spans="1:17" x14ac:dyDescent="0.25">
      <c r="A8" t="s">
        <v>4</v>
      </c>
      <c r="B8">
        <v>543</v>
      </c>
      <c r="C8">
        <v>248</v>
      </c>
      <c r="D8">
        <v>295</v>
      </c>
      <c r="F8">
        <v>13</v>
      </c>
      <c r="G8">
        <v>91</v>
      </c>
      <c r="H8">
        <v>439</v>
      </c>
      <c r="L8" s="11" t="s">
        <v>5</v>
      </c>
      <c r="M8">
        <v>14</v>
      </c>
      <c r="N8" s="17" t="s">
        <v>12</v>
      </c>
      <c r="O8">
        <v>55</v>
      </c>
      <c r="P8" s="22" t="s">
        <v>14</v>
      </c>
      <c r="Q8">
        <v>422</v>
      </c>
    </row>
    <row r="9" spans="1:17" x14ac:dyDescent="0.25">
      <c r="A9" t="s">
        <v>5</v>
      </c>
      <c r="B9">
        <v>25</v>
      </c>
      <c r="C9">
        <v>9</v>
      </c>
      <c r="D9">
        <v>16</v>
      </c>
      <c r="F9">
        <v>14</v>
      </c>
      <c r="G9">
        <v>9</v>
      </c>
      <c r="H9">
        <v>2</v>
      </c>
      <c r="L9" s="14" t="s">
        <v>8</v>
      </c>
      <c r="M9">
        <v>14</v>
      </c>
      <c r="N9" s="21" t="s">
        <v>17</v>
      </c>
      <c r="O9">
        <v>45</v>
      </c>
      <c r="P9" s="9" t="s">
        <v>3</v>
      </c>
      <c r="Q9">
        <v>107</v>
      </c>
    </row>
    <row r="10" spans="1:17" x14ac:dyDescent="0.25">
      <c r="A10" t="s">
        <v>6</v>
      </c>
      <c r="B10">
        <v>31</v>
      </c>
      <c r="C10">
        <v>10</v>
      </c>
      <c r="D10">
        <v>21</v>
      </c>
      <c r="F10">
        <v>15</v>
      </c>
      <c r="G10">
        <v>8</v>
      </c>
      <c r="H10">
        <v>8</v>
      </c>
      <c r="L10" s="10" t="s">
        <v>4</v>
      </c>
      <c r="M10">
        <v>13</v>
      </c>
      <c r="N10" s="9" t="s">
        <v>3</v>
      </c>
      <c r="O10">
        <v>31</v>
      </c>
      <c r="P10" s="8" t="s">
        <v>2</v>
      </c>
      <c r="Q10">
        <v>105</v>
      </c>
    </row>
    <row r="11" spans="1:17" x14ac:dyDescent="0.25">
      <c r="A11" t="s">
        <v>7</v>
      </c>
      <c r="B11">
        <v>39</v>
      </c>
      <c r="C11">
        <v>15</v>
      </c>
      <c r="D11">
        <v>24</v>
      </c>
      <c r="F11">
        <v>2</v>
      </c>
      <c r="G11">
        <v>14</v>
      </c>
      <c r="H11">
        <v>23</v>
      </c>
      <c r="L11" s="20" t="s">
        <v>16</v>
      </c>
      <c r="M11">
        <v>8</v>
      </c>
      <c r="N11" s="24" t="s">
        <v>18</v>
      </c>
      <c r="O11">
        <v>26</v>
      </c>
      <c r="P11" s="19" t="s">
        <v>15</v>
      </c>
      <c r="Q11">
        <v>104</v>
      </c>
    </row>
    <row r="12" spans="1:17" x14ac:dyDescent="0.25">
      <c r="A12" t="s">
        <v>8</v>
      </c>
      <c r="B12">
        <v>19</v>
      </c>
      <c r="C12">
        <v>7</v>
      </c>
      <c r="D12">
        <v>12</v>
      </c>
      <c r="F12">
        <v>14</v>
      </c>
      <c r="G12">
        <v>1</v>
      </c>
      <c r="H12">
        <v>4</v>
      </c>
      <c r="L12" s="8" t="s">
        <v>2</v>
      </c>
      <c r="M12">
        <v>5</v>
      </c>
      <c r="N12" s="19" t="s">
        <v>15</v>
      </c>
      <c r="O12">
        <v>20</v>
      </c>
      <c r="P12" s="21" t="s">
        <v>17</v>
      </c>
      <c r="Q12">
        <v>89</v>
      </c>
    </row>
    <row r="13" spans="1:17" x14ac:dyDescent="0.25">
      <c r="A13" t="s">
        <v>9</v>
      </c>
      <c r="B13">
        <v>29</v>
      </c>
      <c r="C13">
        <v>8</v>
      </c>
      <c r="D13">
        <v>21</v>
      </c>
      <c r="F13">
        <v>15</v>
      </c>
      <c r="G13">
        <v>13</v>
      </c>
      <c r="H13">
        <v>1</v>
      </c>
      <c r="L13" s="9" t="s">
        <v>3</v>
      </c>
      <c r="M13">
        <v>2</v>
      </c>
      <c r="N13" s="20" t="s">
        <v>16</v>
      </c>
      <c r="O13">
        <v>18</v>
      </c>
      <c r="P13" s="16" t="s">
        <v>10</v>
      </c>
      <c r="Q13">
        <v>85</v>
      </c>
    </row>
    <row r="14" spans="1:17" x14ac:dyDescent="0.25">
      <c r="A14" t="s">
        <v>10</v>
      </c>
      <c r="B14">
        <v>86</v>
      </c>
      <c r="C14">
        <v>49</v>
      </c>
      <c r="D14">
        <v>37</v>
      </c>
      <c r="F14">
        <v>0</v>
      </c>
      <c r="G14">
        <v>1</v>
      </c>
      <c r="H14">
        <v>85</v>
      </c>
      <c r="L14" s="13" t="s">
        <v>7</v>
      </c>
      <c r="M14">
        <v>2</v>
      </c>
      <c r="N14" s="13" t="s">
        <v>7</v>
      </c>
      <c r="O14">
        <v>14</v>
      </c>
      <c r="P14" s="20" t="s">
        <v>16</v>
      </c>
      <c r="Q14">
        <v>39</v>
      </c>
    </row>
    <row r="15" spans="1:17" x14ac:dyDescent="0.25">
      <c r="A15" s="1" t="s">
        <v>11</v>
      </c>
      <c r="L15" s="16" t="s">
        <v>10</v>
      </c>
      <c r="M15">
        <v>0</v>
      </c>
      <c r="N15" s="15" t="s">
        <v>9</v>
      </c>
      <c r="O15">
        <v>13</v>
      </c>
      <c r="P15" s="18" t="s">
        <v>13</v>
      </c>
      <c r="Q15">
        <v>26</v>
      </c>
    </row>
    <row r="16" spans="1:17" x14ac:dyDescent="0.25">
      <c r="A16" t="s">
        <v>12</v>
      </c>
      <c r="B16">
        <v>682</v>
      </c>
      <c r="C16">
        <v>486</v>
      </c>
      <c r="D16">
        <v>196</v>
      </c>
      <c r="F16">
        <v>0</v>
      </c>
      <c r="G16">
        <v>55</v>
      </c>
      <c r="H16">
        <v>627</v>
      </c>
      <c r="L16" s="17" t="s">
        <v>12</v>
      </c>
      <c r="M16">
        <v>0</v>
      </c>
      <c r="N16" s="11" t="s">
        <v>5</v>
      </c>
      <c r="O16">
        <v>9</v>
      </c>
      <c r="P16" s="13" t="s">
        <v>7</v>
      </c>
      <c r="Q16">
        <v>23</v>
      </c>
    </row>
    <row r="17" spans="1:17" x14ac:dyDescent="0.25">
      <c r="A17" t="s">
        <v>13</v>
      </c>
      <c r="B17">
        <v>33</v>
      </c>
      <c r="C17">
        <v>13</v>
      </c>
      <c r="D17">
        <v>20</v>
      </c>
      <c r="F17">
        <v>0</v>
      </c>
      <c r="G17">
        <v>7</v>
      </c>
      <c r="H17">
        <v>26</v>
      </c>
      <c r="L17" s="18" t="s">
        <v>13</v>
      </c>
      <c r="M17">
        <v>0</v>
      </c>
      <c r="N17" s="12" t="s">
        <v>6</v>
      </c>
      <c r="O17">
        <v>8</v>
      </c>
      <c r="P17" s="12" t="s">
        <v>6</v>
      </c>
      <c r="Q17">
        <v>8</v>
      </c>
    </row>
    <row r="18" spans="1:17" x14ac:dyDescent="0.25">
      <c r="A18" t="s">
        <v>14</v>
      </c>
      <c r="B18">
        <v>546</v>
      </c>
      <c r="C18">
        <v>282</v>
      </c>
      <c r="D18">
        <v>264</v>
      </c>
      <c r="F18">
        <v>0</v>
      </c>
      <c r="G18">
        <v>124</v>
      </c>
      <c r="H18">
        <v>422</v>
      </c>
      <c r="L18" s="22" t="s">
        <v>14</v>
      </c>
      <c r="M18">
        <v>0</v>
      </c>
      <c r="N18" s="18" t="s">
        <v>13</v>
      </c>
      <c r="O18">
        <v>7</v>
      </c>
      <c r="P18" s="14" t="s">
        <v>8</v>
      </c>
      <c r="Q18">
        <v>4</v>
      </c>
    </row>
    <row r="19" spans="1:17" x14ac:dyDescent="0.25">
      <c r="A19" t="s">
        <v>15</v>
      </c>
      <c r="B19">
        <v>124</v>
      </c>
      <c r="C19">
        <v>66</v>
      </c>
      <c r="D19">
        <v>58</v>
      </c>
      <c r="F19">
        <v>0</v>
      </c>
      <c r="G19">
        <v>20</v>
      </c>
      <c r="H19">
        <v>104</v>
      </c>
      <c r="L19" s="19" t="s">
        <v>15</v>
      </c>
      <c r="M19">
        <v>0</v>
      </c>
      <c r="N19" s="14" t="s">
        <v>8</v>
      </c>
      <c r="O19">
        <v>1</v>
      </c>
      <c r="P19" s="11" t="s">
        <v>5</v>
      </c>
      <c r="Q19">
        <v>2</v>
      </c>
    </row>
    <row r="20" spans="1:17" x14ac:dyDescent="0.25">
      <c r="A20" t="s">
        <v>16</v>
      </c>
      <c r="B20">
        <v>65</v>
      </c>
      <c r="C20">
        <v>38</v>
      </c>
      <c r="D20">
        <v>27</v>
      </c>
      <c r="F20">
        <v>8</v>
      </c>
      <c r="G20">
        <v>18</v>
      </c>
      <c r="H20">
        <v>39</v>
      </c>
      <c r="L20" s="24" t="s">
        <v>18</v>
      </c>
      <c r="M20">
        <v>0</v>
      </c>
      <c r="N20" s="16" t="s">
        <v>10</v>
      </c>
      <c r="O20">
        <v>1</v>
      </c>
      <c r="P20" s="15" t="s">
        <v>9</v>
      </c>
      <c r="Q20">
        <v>1</v>
      </c>
    </row>
    <row r="21" spans="1:17" x14ac:dyDescent="0.25">
      <c r="A21" t="s">
        <v>17</v>
      </c>
      <c r="B21">
        <v>161</v>
      </c>
      <c r="C21">
        <v>61</v>
      </c>
      <c r="D21">
        <v>100</v>
      </c>
      <c r="F21">
        <v>27</v>
      </c>
      <c r="G21">
        <v>45</v>
      </c>
      <c r="H21">
        <v>89</v>
      </c>
    </row>
    <row r="22" spans="1:17" x14ac:dyDescent="0.25">
      <c r="A22" t="s">
        <v>18</v>
      </c>
      <c r="B22">
        <v>619</v>
      </c>
      <c r="C22">
        <v>307</v>
      </c>
      <c r="D22">
        <v>312</v>
      </c>
      <c r="F22">
        <v>0</v>
      </c>
      <c r="G22">
        <v>26</v>
      </c>
      <c r="H22">
        <v>593</v>
      </c>
    </row>
    <row r="23" spans="1:17" x14ac:dyDescent="0.25">
      <c r="A23" t="s">
        <v>19</v>
      </c>
      <c r="B23">
        <v>3309</v>
      </c>
      <c r="C23">
        <v>1749</v>
      </c>
      <c r="D23">
        <v>1560</v>
      </c>
      <c r="F23">
        <v>115</v>
      </c>
      <c r="G23">
        <v>520</v>
      </c>
      <c r="H23">
        <v>2674</v>
      </c>
    </row>
    <row r="27" spans="1:17" x14ac:dyDescent="0.25">
      <c r="A27" s="1" t="s">
        <v>35</v>
      </c>
      <c r="B27" t="s">
        <v>22</v>
      </c>
    </row>
    <row r="28" spans="1:17" x14ac:dyDescent="0.25">
      <c r="A28" s="17" t="s">
        <v>12</v>
      </c>
      <c r="B28">
        <v>682</v>
      </c>
    </row>
    <row r="29" spans="1:17" x14ac:dyDescent="0.25">
      <c r="A29" s="24" t="s">
        <v>18</v>
      </c>
      <c r="B29">
        <v>619</v>
      </c>
    </row>
    <row r="30" spans="1:17" x14ac:dyDescent="0.25">
      <c r="A30" s="22" t="s">
        <v>14</v>
      </c>
      <c r="B30">
        <v>546</v>
      </c>
    </row>
    <row r="31" spans="1:17" x14ac:dyDescent="0.25">
      <c r="A31" s="10" t="s">
        <v>4</v>
      </c>
      <c r="B31">
        <v>543</v>
      </c>
    </row>
    <row r="32" spans="1:17" x14ac:dyDescent="0.25">
      <c r="A32" s="8" t="s">
        <v>2</v>
      </c>
      <c r="B32">
        <v>167</v>
      </c>
    </row>
    <row r="33" spans="1:2" x14ac:dyDescent="0.25">
      <c r="A33" s="21" t="s">
        <v>17</v>
      </c>
      <c r="B33">
        <v>161</v>
      </c>
    </row>
    <row r="34" spans="1:2" x14ac:dyDescent="0.25">
      <c r="A34" s="9" t="s">
        <v>3</v>
      </c>
      <c r="B34">
        <v>140</v>
      </c>
    </row>
    <row r="35" spans="1:2" x14ac:dyDescent="0.25">
      <c r="A35" s="19" t="s">
        <v>15</v>
      </c>
      <c r="B35">
        <v>124</v>
      </c>
    </row>
    <row r="36" spans="1:2" x14ac:dyDescent="0.25">
      <c r="A36" s="16" t="s">
        <v>10</v>
      </c>
      <c r="B36">
        <v>86</v>
      </c>
    </row>
    <row r="37" spans="1:2" x14ac:dyDescent="0.25">
      <c r="A37" s="20" t="s">
        <v>16</v>
      </c>
      <c r="B37">
        <v>65</v>
      </c>
    </row>
    <row r="38" spans="1:2" x14ac:dyDescent="0.25">
      <c r="A38" s="13" t="s">
        <v>7</v>
      </c>
      <c r="B38">
        <v>39</v>
      </c>
    </row>
    <row r="39" spans="1:2" x14ac:dyDescent="0.25">
      <c r="A39" s="18" t="s">
        <v>13</v>
      </c>
      <c r="B39">
        <v>33</v>
      </c>
    </row>
    <row r="40" spans="1:2" x14ac:dyDescent="0.25">
      <c r="A40" s="12" t="s">
        <v>6</v>
      </c>
      <c r="B40">
        <v>31</v>
      </c>
    </row>
    <row r="41" spans="1:2" x14ac:dyDescent="0.25">
      <c r="A41" s="15" t="s">
        <v>9</v>
      </c>
      <c r="B41">
        <v>29</v>
      </c>
    </row>
    <row r="42" spans="1:2" x14ac:dyDescent="0.25">
      <c r="A42" s="11" t="s">
        <v>5</v>
      </c>
      <c r="B42">
        <v>25</v>
      </c>
    </row>
    <row r="43" spans="1:2" x14ac:dyDescent="0.25">
      <c r="A43" s="14" t="s">
        <v>8</v>
      </c>
      <c r="B43">
        <v>19</v>
      </c>
    </row>
    <row r="88" spans="1:4" x14ac:dyDescent="0.25">
      <c r="A88" s="1" t="s">
        <v>41</v>
      </c>
    </row>
    <row r="89" spans="1:4" x14ac:dyDescent="0.25">
      <c r="A89" s="1" t="s">
        <v>35</v>
      </c>
      <c r="B89" t="s">
        <v>22</v>
      </c>
    </row>
    <row r="90" spans="1:4" x14ac:dyDescent="0.25">
      <c r="A90" s="25" t="s">
        <v>42</v>
      </c>
      <c r="B90">
        <v>682</v>
      </c>
      <c r="C90" s="23"/>
      <c r="D90" s="23"/>
    </row>
    <row r="91" spans="1:4" x14ac:dyDescent="0.25">
      <c r="A91" s="8" t="s">
        <v>43</v>
      </c>
      <c r="B91">
        <v>546</v>
      </c>
      <c r="C91" s="23"/>
      <c r="D91" s="23"/>
    </row>
    <row r="92" spans="1:4" x14ac:dyDescent="0.25">
      <c r="A92" s="26" t="s">
        <v>45</v>
      </c>
      <c r="B92">
        <v>161</v>
      </c>
      <c r="C92" s="23"/>
      <c r="D92" s="23"/>
    </row>
    <row r="93" spans="1:4" x14ac:dyDescent="0.25">
      <c r="A93" s="27" t="s">
        <v>44</v>
      </c>
      <c r="B93">
        <v>124</v>
      </c>
      <c r="C93" s="23"/>
      <c r="D93" s="23"/>
    </row>
    <row r="94" spans="1:4" x14ac:dyDescent="0.25">
      <c r="A94" s="28" t="s">
        <v>48</v>
      </c>
      <c r="B94">
        <v>543</v>
      </c>
      <c r="C94" s="23"/>
      <c r="D94" s="23"/>
    </row>
    <row r="95" spans="1:4" x14ac:dyDescent="0.25">
      <c r="A95" s="10" t="s">
        <v>47</v>
      </c>
      <c r="B95">
        <v>363</v>
      </c>
      <c r="C95" s="23"/>
      <c r="D95" s="23"/>
    </row>
    <row r="96" spans="1:4" x14ac:dyDescent="0.25">
      <c r="A96" s="18" t="s">
        <v>46</v>
      </c>
      <c r="B96">
        <v>271</v>
      </c>
      <c r="C96" s="23"/>
      <c r="D96" s="23"/>
    </row>
    <row r="97" spans="1:4" x14ac:dyDescent="0.25">
      <c r="A97" s="17" t="s">
        <v>18</v>
      </c>
      <c r="B97">
        <v>619</v>
      </c>
      <c r="C97" s="23"/>
      <c r="D97" s="23"/>
    </row>
    <row r="98" spans="1:4" x14ac:dyDescent="0.25">
      <c r="C98" s="23"/>
      <c r="D98" s="23"/>
    </row>
    <row r="99" spans="1:4" x14ac:dyDescent="0.25">
      <c r="C99" s="23"/>
      <c r="D99" s="23"/>
    </row>
    <row r="100" spans="1:4" x14ac:dyDescent="0.25">
      <c r="C100" s="23"/>
      <c r="D100" s="23"/>
    </row>
    <row r="101" spans="1:4" x14ac:dyDescent="0.25">
      <c r="C101" s="23"/>
      <c r="D101" s="23"/>
    </row>
    <row r="102" spans="1:4" x14ac:dyDescent="0.25">
      <c r="C102" s="23"/>
      <c r="D102" s="23"/>
    </row>
    <row r="103" spans="1:4" x14ac:dyDescent="0.25">
      <c r="C103" s="23"/>
      <c r="D103" s="23"/>
    </row>
    <row r="104" spans="1:4" x14ac:dyDescent="0.25">
      <c r="C104" s="23"/>
      <c r="D104" s="23"/>
    </row>
    <row r="105" spans="1:4" x14ac:dyDescent="0.25">
      <c r="C105" s="23"/>
      <c r="D105" s="23"/>
    </row>
    <row r="106" spans="1:4" x14ac:dyDescent="0.25">
      <c r="C106" s="23"/>
      <c r="D106" s="23"/>
    </row>
    <row r="107" spans="1:4" x14ac:dyDescent="0.25">
      <c r="C107" s="23"/>
      <c r="D107" s="23"/>
    </row>
    <row r="137" spans="1:6" x14ac:dyDescent="0.25">
      <c r="B137" s="1" t="s">
        <v>51</v>
      </c>
    </row>
    <row r="138" spans="1:6" x14ac:dyDescent="0.25">
      <c r="A138" s="1" t="s">
        <v>63</v>
      </c>
      <c r="B138" s="30" t="s">
        <v>58</v>
      </c>
      <c r="C138" t="s">
        <v>59</v>
      </c>
      <c r="D138" t="s">
        <v>60</v>
      </c>
      <c r="E138" t="s">
        <v>61</v>
      </c>
      <c r="F138" t="s">
        <v>62</v>
      </c>
    </row>
    <row r="139" spans="1:6" x14ac:dyDescent="0.25">
      <c r="A139" t="s">
        <v>52</v>
      </c>
      <c r="B139">
        <v>71</v>
      </c>
      <c r="C139">
        <v>72</v>
      </c>
      <c r="D139">
        <v>85</v>
      </c>
      <c r="E139">
        <v>103</v>
      </c>
      <c r="F139">
        <v>105</v>
      </c>
    </row>
    <row r="140" spans="1:6" x14ac:dyDescent="0.25">
      <c r="A140" t="s">
        <v>53</v>
      </c>
      <c r="B140">
        <v>201</v>
      </c>
      <c r="C140">
        <v>237</v>
      </c>
      <c r="D140">
        <v>254</v>
      </c>
      <c r="E140">
        <v>291</v>
      </c>
      <c r="F140">
        <v>260</v>
      </c>
    </row>
    <row r="141" spans="1:6" x14ac:dyDescent="0.25">
      <c r="A141" t="s">
        <v>54</v>
      </c>
      <c r="B141">
        <v>86</v>
      </c>
      <c r="C141">
        <v>103</v>
      </c>
      <c r="D141">
        <v>110</v>
      </c>
      <c r="E141">
        <v>103</v>
      </c>
      <c r="F141">
        <v>139</v>
      </c>
    </row>
    <row r="142" spans="1:6" x14ac:dyDescent="0.25">
      <c r="A142" t="s">
        <v>55</v>
      </c>
      <c r="B142">
        <v>94</v>
      </c>
      <c r="C142">
        <v>124</v>
      </c>
      <c r="D142">
        <v>116</v>
      </c>
      <c r="E142">
        <v>102</v>
      </c>
      <c r="F142">
        <v>114</v>
      </c>
    </row>
    <row r="143" spans="1:6" x14ac:dyDescent="0.25">
      <c r="A143" t="s">
        <v>56</v>
      </c>
      <c r="B143">
        <v>90</v>
      </c>
      <c r="C143">
        <v>73</v>
      </c>
      <c r="D143">
        <v>74</v>
      </c>
      <c r="E143">
        <v>93</v>
      </c>
      <c r="F143">
        <v>92</v>
      </c>
    </row>
    <row r="144" spans="1:6" x14ac:dyDescent="0.25">
      <c r="A144" t="s">
        <v>57</v>
      </c>
      <c r="B144">
        <v>23</v>
      </c>
      <c r="C144">
        <v>21</v>
      </c>
      <c r="D144">
        <v>20</v>
      </c>
      <c r="E144">
        <v>28</v>
      </c>
      <c r="F144">
        <v>25</v>
      </c>
    </row>
  </sheetData>
  <sortState ref="A28:B43">
    <sortCondition descending="1" ref="B28:B43"/>
  </sortState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53"/>
  <sheetViews>
    <sheetView topLeftCell="A4" zoomScaleNormal="100" workbookViewId="0">
      <selection activeCell="I135" sqref="I135"/>
    </sheetView>
  </sheetViews>
  <sheetFormatPr defaultRowHeight="16.5" x14ac:dyDescent="0.25"/>
  <cols>
    <col min="1" max="1" width="38.25" customWidth="1"/>
    <col min="2" max="2" width="10.25" customWidth="1"/>
    <col min="5" max="5" width="17.625" customWidth="1"/>
    <col min="9" max="9" width="18.5" customWidth="1"/>
    <col min="14" max="14" width="19" customWidth="1"/>
    <col min="16" max="16" width="4.75" customWidth="1"/>
    <col min="17" max="17" width="3.5" customWidth="1"/>
    <col min="18" max="18" width="18.5" customWidth="1"/>
    <col min="20" max="20" width="4.875" customWidth="1"/>
    <col min="21" max="21" width="5.375" customWidth="1"/>
    <col min="22" max="22" width="18.125" customWidth="1"/>
  </cols>
  <sheetData>
    <row r="1" spans="1:23" ht="19.5" x14ac:dyDescent="0.3">
      <c r="A1" s="5" t="s">
        <v>28</v>
      </c>
    </row>
    <row r="3" spans="1:23" x14ac:dyDescent="0.25">
      <c r="A3" s="1" t="s">
        <v>0</v>
      </c>
    </row>
    <row r="4" spans="1:23" x14ac:dyDescent="0.25">
      <c r="B4" t="s">
        <v>22</v>
      </c>
      <c r="C4" t="s">
        <v>20</v>
      </c>
      <c r="D4" t="s">
        <v>21</v>
      </c>
      <c r="E4" s="2" t="s">
        <v>27</v>
      </c>
      <c r="G4" t="s">
        <v>24</v>
      </c>
      <c r="H4" t="s">
        <v>25</v>
      </c>
      <c r="I4" t="s">
        <v>26</v>
      </c>
      <c r="N4" s="1" t="s">
        <v>34</v>
      </c>
    </row>
    <row r="5" spans="1:23" x14ac:dyDescent="0.25">
      <c r="A5" s="1" t="s">
        <v>1</v>
      </c>
      <c r="O5" s="1" t="s">
        <v>24</v>
      </c>
      <c r="S5" s="1" t="s">
        <v>25</v>
      </c>
      <c r="W5" s="1" t="s">
        <v>26</v>
      </c>
    </row>
    <row r="6" spans="1:23" x14ac:dyDescent="0.25">
      <c r="A6" t="s">
        <v>2</v>
      </c>
      <c r="B6">
        <v>134</v>
      </c>
      <c r="C6">
        <v>69</v>
      </c>
      <c r="D6">
        <v>65</v>
      </c>
      <c r="E6">
        <f>D6/C6</f>
        <v>0.94202898550724634</v>
      </c>
      <c r="G6">
        <v>5</v>
      </c>
      <c r="H6">
        <v>48</v>
      </c>
      <c r="I6">
        <v>81</v>
      </c>
      <c r="M6" s="23"/>
      <c r="N6" s="21" t="s">
        <v>17</v>
      </c>
      <c r="O6">
        <v>23</v>
      </c>
      <c r="R6" s="22" t="s">
        <v>14</v>
      </c>
      <c r="S6">
        <v>119</v>
      </c>
      <c r="V6" s="17" t="s">
        <v>12</v>
      </c>
      <c r="W6">
        <v>602</v>
      </c>
    </row>
    <row r="7" spans="1:23" x14ac:dyDescent="0.25">
      <c r="A7" t="s">
        <v>3</v>
      </c>
      <c r="B7">
        <v>98</v>
      </c>
      <c r="C7">
        <v>46</v>
      </c>
      <c r="D7">
        <v>52</v>
      </c>
      <c r="E7">
        <f t="shared" ref="E7:E23" si="0">D7/C7</f>
        <v>1.1304347826086956</v>
      </c>
      <c r="G7">
        <v>0</v>
      </c>
      <c r="H7">
        <v>20</v>
      </c>
      <c r="I7">
        <v>78</v>
      </c>
      <c r="M7" s="23"/>
      <c r="N7" s="14" t="s">
        <v>8</v>
      </c>
      <c r="O7">
        <v>13</v>
      </c>
      <c r="R7" s="10" t="s">
        <v>4</v>
      </c>
      <c r="S7">
        <v>58</v>
      </c>
      <c r="V7" s="24" t="s">
        <v>18</v>
      </c>
      <c r="W7">
        <v>537</v>
      </c>
    </row>
    <row r="8" spans="1:23" x14ac:dyDescent="0.25">
      <c r="A8" t="s">
        <v>4</v>
      </c>
      <c r="B8">
        <v>368</v>
      </c>
      <c r="C8">
        <v>166</v>
      </c>
      <c r="D8">
        <v>202</v>
      </c>
      <c r="E8">
        <f t="shared" si="0"/>
        <v>1.2168674698795181</v>
      </c>
      <c r="G8">
        <v>9</v>
      </c>
      <c r="H8">
        <v>58</v>
      </c>
      <c r="I8">
        <v>301</v>
      </c>
      <c r="M8" s="23"/>
      <c r="N8" s="15" t="s">
        <v>9</v>
      </c>
      <c r="O8">
        <v>12</v>
      </c>
      <c r="R8" s="17" t="s">
        <v>12</v>
      </c>
      <c r="S8">
        <v>54</v>
      </c>
      <c r="V8" s="22" t="s">
        <v>14</v>
      </c>
      <c r="W8">
        <v>401</v>
      </c>
    </row>
    <row r="9" spans="1:23" x14ac:dyDescent="0.25">
      <c r="A9" t="s">
        <v>5</v>
      </c>
      <c r="B9">
        <v>19</v>
      </c>
      <c r="C9">
        <v>8</v>
      </c>
      <c r="D9">
        <v>11</v>
      </c>
      <c r="E9">
        <f t="shared" si="0"/>
        <v>1.375</v>
      </c>
      <c r="G9">
        <v>11</v>
      </c>
      <c r="H9">
        <v>6</v>
      </c>
      <c r="I9">
        <v>2</v>
      </c>
      <c r="M9" s="23"/>
      <c r="N9" s="11" t="s">
        <v>5</v>
      </c>
      <c r="O9">
        <v>11</v>
      </c>
      <c r="R9" s="8" t="s">
        <v>2</v>
      </c>
      <c r="S9">
        <v>48</v>
      </c>
      <c r="V9" s="10" t="s">
        <v>4</v>
      </c>
      <c r="W9">
        <v>301</v>
      </c>
    </row>
    <row r="10" spans="1:23" x14ac:dyDescent="0.25">
      <c r="A10" t="s">
        <v>6</v>
      </c>
      <c r="B10">
        <v>21</v>
      </c>
      <c r="C10">
        <v>9</v>
      </c>
      <c r="D10">
        <v>12</v>
      </c>
      <c r="E10">
        <f t="shared" si="0"/>
        <v>1.3333333333333333</v>
      </c>
      <c r="G10">
        <v>8</v>
      </c>
      <c r="H10">
        <v>6</v>
      </c>
      <c r="I10">
        <v>7</v>
      </c>
      <c r="M10" s="23"/>
      <c r="N10" s="10" t="s">
        <v>4</v>
      </c>
      <c r="O10">
        <v>9</v>
      </c>
      <c r="R10" s="21" t="s">
        <v>17</v>
      </c>
      <c r="S10">
        <v>42</v>
      </c>
      <c r="V10" t="s">
        <v>15</v>
      </c>
      <c r="W10">
        <v>102</v>
      </c>
    </row>
    <row r="11" spans="1:23" x14ac:dyDescent="0.25">
      <c r="A11" t="s">
        <v>7</v>
      </c>
      <c r="B11">
        <v>37</v>
      </c>
      <c r="C11">
        <v>15</v>
      </c>
      <c r="D11">
        <v>22</v>
      </c>
      <c r="E11">
        <f t="shared" si="0"/>
        <v>1.4666666666666666</v>
      </c>
      <c r="G11">
        <v>2</v>
      </c>
      <c r="H11">
        <v>14</v>
      </c>
      <c r="I11">
        <v>21</v>
      </c>
      <c r="M11" s="23"/>
      <c r="N11" s="12" t="s">
        <v>6</v>
      </c>
      <c r="O11">
        <v>8</v>
      </c>
      <c r="R11" s="24" t="s">
        <v>18</v>
      </c>
      <c r="S11">
        <v>25</v>
      </c>
      <c r="V11" s="16" t="s">
        <v>10</v>
      </c>
      <c r="W11">
        <v>83</v>
      </c>
    </row>
    <row r="12" spans="1:23" x14ac:dyDescent="0.25">
      <c r="A12" t="s">
        <v>8</v>
      </c>
      <c r="B12">
        <v>17</v>
      </c>
      <c r="C12">
        <v>6</v>
      </c>
      <c r="D12">
        <v>11</v>
      </c>
      <c r="E12">
        <f t="shared" si="0"/>
        <v>1.8333333333333333</v>
      </c>
      <c r="G12">
        <v>13</v>
      </c>
      <c r="H12">
        <v>1</v>
      </c>
      <c r="I12">
        <v>3</v>
      </c>
      <c r="M12" s="23"/>
      <c r="N12" s="8" t="s">
        <v>2</v>
      </c>
      <c r="O12">
        <v>5</v>
      </c>
      <c r="R12" s="9" t="s">
        <v>3</v>
      </c>
      <c r="S12">
        <v>20</v>
      </c>
      <c r="V12" s="21" t="s">
        <v>17</v>
      </c>
      <c r="W12">
        <v>83</v>
      </c>
    </row>
    <row r="13" spans="1:23" x14ac:dyDescent="0.25">
      <c r="A13" t="s">
        <v>9</v>
      </c>
      <c r="B13">
        <v>24</v>
      </c>
      <c r="C13">
        <v>6</v>
      </c>
      <c r="D13">
        <v>18</v>
      </c>
      <c r="E13">
        <f t="shared" si="0"/>
        <v>3</v>
      </c>
      <c r="G13">
        <v>12</v>
      </c>
      <c r="H13">
        <v>11</v>
      </c>
      <c r="I13">
        <v>1</v>
      </c>
      <c r="M13" s="23"/>
      <c r="N13" s="20" t="s">
        <v>16</v>
      </c>
      <c r="O13">
        <v>5</v>
      </c>
      <c r="R13" t="s">
        <v>15</v>
      </c>
      <c r="S13">
        <v>20</v>
      </c>
      <c r="V13" s="8" t="s">
        <v>2</v>
      </c>
      <c r="W13">
        <v>81</v>
      </c>
    </row>
    <row r="14" spans="1:23" x14ac:dyDescent="0.25">
      <c r="A14" t="s">
        <v>10</v>
      </c>
      <c r="B14">
        <v>84</v>
      </c>
      <c r="C14">
        <v>48</v>
      </c>
      <c r="D14">
        <v>36</v>
      </c>
      <c r="E14">
        <f t="shared" si="0"/>
        <v>0.75</v>
      </c>
      <c r="G14">
        <v>0</v>
      </c>
      <c r="H14">
        <v>1</v>
      </c>
      <c r="I14">
        <v>83</v>
      </c>
      <c r="M14" s="23"/>
      <c r="N14" s="13" t="s">
        <v>7</v>
      </c>
      <c r="O14">
        <v>2</v>
      </c>
      <c r="R14" s="13" t="s">
        <v>7</v>
      </c>
      <c r="S14">
        <v>14</v>
      </c>
      <c r="V14" s="9" t="s">
        <v>3</v>
      </c>
      <c r="W14">
        <v>78</v>
      </c>
    </row>
    <row r="15" spans="1:23" x14ac:dyDescent="0.25">
      <c r="A15" s="1" t="s">
        <v>11</v>
      </c>
      <c r="M15" s="23"/>
      <c r="N15" s="9" t="s">
        <v>3</v>
      </c>
      <c r="O15">
        <v>0</v>
      </c>
      <c r="R15" s="15" t="s">
        <v>9</v>
      </c>
      <c r="S15">
        <v>11</v>
      </c>
      <c r="V15" s="20" t="s">
        <v>16</v>
      </c>
      <c r="W15">
        <v>30</v>
      </c>
    </row>
    <row r="16" spans="1:23" x14ac:dyDescent="0.25">
      <c r="A16" t="s">
        <v>12</v>
      </c>
      <c r="B16">
        <v>656</v>
      </c>
      <c r="C16">
        <v>468</v>
      </c>
      <c r="D16">
        <v>188</v>
      </c>
      <c r="E16">
        <f t="shared" si="0"/>
        <v>0.40170940170940173</v>
      </c>
      <c r="G16">
        <v>0</v>
      </c>
      <c r="H16">
        <v>54</v>
      </c>
      <c r="I16">
        <v>602</v>
      </c>
      <c r="M16" s="23"/>
      <c r="N16" s="16" t="s">
        <v>10</v>
      </c>
      <c r="O16">
        <v>0</v>
      </c>
      <c r="R16" s="20" t="s">
        <v>16</v>
      </c>
      <c r="S16">
        <v>10</v>
      </c>
      <c r="V16" s="13" t="s">
        <v>7</v>
      </c>
      <c r="W16">
        <v>21</v>
      </c>
    </row>
    <row r="17" spans="1:23" x14ac:dyDescent="0.25">
      <c r="A17" t="s">
        <v>13</v>
      </c>
      <c r="B17">
        <v>20</v>
      </c>
      <c r="C17">
        <v>9</v>
      </c>
      <c r="D17">
        <v>11</v>
      </c>
      <c r="E17">
        <f t="shared" si="0"/>
        <v>1.2222222222222223</v>
      </c>
      <c r="G17">
        <v>0</v>
      </c>
      <c r="H17">
        <v>3</v>
      </c>
      <c r="I17">
        <v>17</v>
      </c>
      <c r="M17" s="23"/>
      <c r="N17" s="17" t="s">
        <v>12</v>
      </c>
      <c r="O17">
        <v>0</v>
      </c>
      <c r="R17" s="12" t="s">
        <v>6</v>
      </c>
      <c r="S17">
        <v>6</v>
      </c>
      <c r="V17" s="18" t="s">
        <v>13</v>
      </c>
      <c r="W17">
        <v>17</v>
      </c>
    </row>
    <row r="18" spans="1:23" x14ac:dyDescent="0.25">
      <c r="A18" t="s">
        <v>14</v>
      </c>
      <c r="B18">
        <v>520</v>
      </c>
      <c r="C18">
        <v>271</v>
      </c>
      <c r="D18">
        <v>249</v>
      </c>
      <c r="E18">
        <f t="shared" si="0"/>
        <v>0.91881918819188191</v>
      </c>
      <c r="G18">
        <v>0</v>
      </c>
      <c r="H18">
        <v>119</v>
      </c>
      <c r="I18">
        <v>401</v>
      </c>
      <c r="M18" s="23"/>
      <c r="N18" s="18" t="s">
        <v>13</v>
      </c>
      <c r="O18">
        <v>0</v>
      </c>
      <c r="R18" s="11" t="s">
        <v>5</v>
      </c>
      <c r="S18">
        <v>6</v>
      </c>
      <c r="V18" s="12" t="s">
        <v>6</v>
      </c>
      <c r="W18">
        <v>7</v>
      </c>
    </row>
    <row r="19" spans="1:23" x14ac:dyDescent="0.25">
      <c r="A19" t="s">
        <v>15</v>
      </c>
      <c r="B19">
        <v>122</v>
      </c>
      <c r="C19">
        <v>65</v>
      </c>
      <c r="D19">
        <v>57</v>
      </c>
      <c r="E19">
        <f t="shared" si="0"/>
        <v>0.87692307692307692</v>
      </c>
      <c r="G19">
        <v>0</v>
      </c>
      <c r="H19">
        <v>20</v>
      </c>
      <c r="I19">
        <v>102</v>
      </c>
      <c r="M19" s="23"/>
      <c r="N19" s="24" t="s">
        <v>18</v>
      </c>
      <c r="O19">
        <v>0</v>
      </c>
      <c r="R19" s="18" t="s">
        <v>13</v>
      </c>
      <c r="S19">
        <v>3</v>
      </c>
      <c r="V19" s="14" t="s">
        <v>8</v>
      </c>
      <c r="W19">
        <v>3</v>
      </c>
    </row>
    <row r="20" spans="1:23" x14ac:dyDescent="0.25">
      <c r="A20" t="s">
        <v>16</v>
      </c>
      <c r="B20">
        <v>45</v>
      </c>
      <c r="C20">
        <v>26</v>
      </c>
      <c r="D20">
        <v>19</v>
      </c>
      <c r="E20">
        <f t="shared" si="0"/>
        <v>0.73076923076923073</v>
      </c>
      <c r="G20">
        <v>5</v>
      </c>
      <c r="H20">
        <v>10</v>
      </c>
      <c r="I20">
        <v>30</v>
      </c>
      <c r="M20" s="23"/>
      <c r="N20" s="22" t="s">
        <v>14</v>
      </c>
      <c r="O20">
        <v>0</v>
      </c>
      <c r="R20" s="14" t="s">
        <v>8</v>
      </c>
      <c r="S20">
        <v>1</v>
      </c>
      <c r="V20" s="11" t="s">
        <v>5</v>
      </c>
      <c r="W20">
        <v>2</v>
      </c>
    </row>
    <row r="21" spans="1:23" x14ac:dyDescent="0.25">
      <c r="A21" t="s">
        <v>17</v>
      </c>
      <c r="B21">
        <v>148</v>
      </c>
      <c r="C21">
        <v>58</v>
      </c>
      <c r="D21">
        <v>90</v>
      </c>
      <c r="E21">
        <f t="shared" si="0"/>
        <v>1.5517241379310345</v>
      </c>
      <c r="G21">
        <v>23</v>
      </c>
      <c r="H21">
        <v>42</v>
      </c>
      <c r="I21">
        <v>83</v>
      </c>
      <c r="M21" s="23"/>
      <c r="N21" t="s">
        <v>15</v>
      </c>
      <c r="O21">
        <v>0</v>
      </c>
      <c r="R21" s="16" t="s">
        <v>10</v>
      </c>
      <c r="S21">
        <v>1</v>
      </c>
      <c r="V21" s="15" t="s">
        <v>9</v>
      </c>
      <c r="W21">
        <v>1</v>
      </c>
    </row>
    <row r="22" spans="1:23" x14ac:dyDescent="0.25">
      <c r="A22" t="s">
        <v>18</v>
      </c>
      <c r="B22">
        <v>562</v>
      </c>
      <c r="C22">
        <v>279</v>
      </c>
      <c r="D22">
        <v>283</v>
      </c>
      <c r="E22">
        <f t="shared" si="0"/>
        <v>1.0143369175627239</v>
      </c>
      <c r="G22">
        <v>0</v>
      </c>
      <c r="H22">
        <v>25</v>
      </c>
      <c r="I22">
        <v>537</v>
      </c>
    </row>
    <row r="23" spans="1:23" x14ac:dyDescent="0.25">
      <c r="A23" t="s">
        <v>19</v>
      </c>
      <c r="B23">
        <v>2875</v>
      </c>
      <c r="C23">
        <v>1549</v>
      </c>
      <c r="D23">
        <v>1326</v>
      </c>
      <c r="E23">
        <f t="shared" si="0"/>
        <v>0.85603615235635899</v>
      </c>
      <c r="G23">
        <v>88</v>
      </c>
      <c r="H23">
        <v>438</v>
      </c>
      <c r="I23">
        <v>2347</v>
      </c>
    </row>
    <row r="28" spans="1:23" x14ac:dyDescent="0.25">
      <c r="A28" s="1" t="s">
        <v>33</v>
      </c>
      <c r="B28" s="1" t="s">
        <v>22</v>
      </c>
      <c r="E28" s="1" t="s">
        <v>39</v>
      </c>
      <c r="F28" s="1" t="s">
        <v>20</v>
      </c>
      <c r="I28" s="1" t="s">
        <v>40</v>
      </c>
      <c r="J28" s="1" t="s">
        <v>21</v>
      </c>
    </row>
    <row r="29" spans="1:23" x14ac:dyDescent="0.25">
      <c r="A29" s="17" t="s">
        <v>12</v>
      </c>
      <c r="B29">
        <v>656</v>
      </c>
      <c r="E29" s="17" t="s">
        <v>12</v>
      </c>
      <c r="F29">
        <v>468</v>
      </c>
      <c r="I29" s="24" t="s">
        <v>18</v>
      </c>
      <c r="J29">
        <v>283</v>
      </c>
    </row>
    <row r="30" spans="1:23" x14ac:dyDescent="0.25">
      <c r="A30" s="24" t="s">
        <v>18</v>
      </c>
      <c r="B30">
        <v>562</v>
      </c>
      <c r="E30" s="24" t="s">
        <v>18</v>
      </c>
      <c r="F30">
        <v>279</v>
      </c>
      <c r="I30" s="22" t="s">
        <v>14</v>
      </c>
      <c r="J30">
        <v>249</v>
      </c>
    </row>
    <row r="31" spans="1:23" x14ac:dyDescent="0.25">
      <c r="A31" s="22" t="s">
        <v>14</v>
      </c>
      <c r="B31">
        <v>520</v>
      </c>
      <c r="E31" s="22" t="s">
        <v>14</v>
      </c>
      <c r="F31">
        <v>271</v>
      </c>
      <c r="I31" s="10" t="s">
        <v>4</v>
      </c>
      <c r="J31">
        <v>202</v>
      </c>
    </row>
    <row r="32" spans="1:23" x14ac:dyDescent="0.25">
      <c r="A32" s="10" t="s">
        <v>4</v>
      </c>
      <c r="B32">
        <v>368</v>
      </c>
      <c r="E32" s="10" t="s">
        <v>4</v>
      </c>
      <c r="F32">
        <v>166</v>
      </c>
      <c r="I32" s="17" t="s">
        <v>12</v>
      </c>
      <c r="J32">
        <v>188</v>
      </c>
    </row>
    <row r="33" spans="1:10" x14ac:dyDescent="0.25">
      <c r="A33" s="21" t="s">
        <v>17</v>
      </c>
      <c r="B33">
        <v>148</v>
      </c>
      <c r="E33" s="8" t="s">
        <v>2</v>
      </c>
      <c r="F33">
        <v>69</v>
      </c>
      <c r="I33" s="21" t="s">
        <v>17</v>
      </c>
      <c r="J33">
        <v>90</v>
      </c>
    </row>
    <row r="34" spans="1:10" x14ac:dyDescent="0.25">
      <c r="A34" s="8" t="s">
        <v>2</v>
      </c>
      <c r="B34">
        <v>134</v>
      </c>
      <c r="E34" s="19" t="s">
        <v>15</v>
      </c>
      <c r="F34">
        <v>65</v>
      </c>
      <c r="I34" s="8" t="s">
        <v>2</v>
      </c>
      <c r="J34">
        <v>65</v>
      </c>
    </row>
    <row r="35" spans="1:10" x14ac:dyDescent="0.25">
      <c r="A35" s="19" t="s">
        <v>15</v>
      </c>
      <c r="B35">
        <v>122</v>
      </c>
      <c r="E35" s="21" t="s">
        <v>17</v>
      </c>
      <c r="F35">
        <v>58</v>
      </c>
      <c r="I35" s="19" t="s">
        <v>15</v>
      </c>
      <c r="J35">
        <v>57</v>
      </c>
    </row>
    <row r="36" spans="1:10" x14ac:dyDescent="0.25">
      <c r="A36" s="9" t="s">
        <v>3</v>
      </c>
      <c r="B36">
        <v>98</v>
      </c>
      <c r="E36" s="16" t="s">
        <v>10</v>
      </c>
      <c r="F36">
        <v>48</v>
      </c>
      <c r="I36" s="9" t="s">
        <v>3</v>
      </c>
      <c r="J36">
        <v>52</v>
      </c>
    </row>
    <row r="37" spans="1:10" x14ac:dyDescent="0.25">
      <c r="A37" s="16" t="s">
        <v>10</v>
      </c>
      <c r="B37">
        <v>84</v>
      </c>
      <c r="E37" s="9" t="s">
        <v>3</v>
      </c>
      <c r="F37">
        <v>46</v>
      </c>
      <c r="I37" s="16" t="s">
        <v>10</v>
      </c>
      <c r="J37">
        <v>36</v>
      </c>
    </row>
    <row r="38" spans="1:10" x14ac:dyDescent="0.25">
      <c r="A38" s="20" t="s">
        <v>16</v>
      </c>
      <c r="B38">
        <v>45</v>
      </c>
      <c r="E38" s="20" t="s">
        <v>16</v>
      </c>
      <c r="F38">
        <v>26</v>
      </c>
      <c r="I38" s="13" t="s">
        <v>7</v>
      </c>
      <c r="J38">
        <v>22</v>
      </c>
    </row>
    <row r="39" spans="1:10" x14ac:dyDescent="0.25">
      <c r="A39" s="13" t="s">
        <v>7</v>
      </c>
      <c r="B39">
        <v>37</v>
      </c>
      <c r="E39" s="13" t="s">
        <v>7</v>
      </c>
      <c r="F39">
        <v>15</v>
      </c>
      <c r="I39" s="20" t="s">
        <v>16</v>
      </c>
      <c r="J39">
        <v>19</v>
      </c>
    </row>
    <row r="40" spans="1:10" x14ac:dyDescent="0.25">
      <c r="A40" s="15" t="s">
        <v>9</v>
      </c>
      <c r="B40">
        <v>24</v>
      </c>
      <c r="E40" s="12" t="s">
        <v>6</v>
      </c>
      <c r="F40">
        <v>9</v>
      </c>
      <c r="I40" s="15" t="s">
        <v>9</v>
      </c>
      <c r="J40">
        <v>18</v>
      </c>
    </row>
    <row r="41" spans="1:10" x14ac:dyDescent="0.25">
      <c r="A41" s="12" t="s">
        <v>6</v>
      </c>
      <c r="B41">
        <v>21</v>
      </c>
      <c r="E41" s="18" t="s">
        <v>13</v>
      </c>
      <c r="F41">
        <v>9</v>
      </c>
      <c r="I41" s="12" t="s">
        <v>6</v>
      </c>
      <c r="J41">
        <v>12</v>
      </c>
    </row>
    <row r="42" spans="1:10" x14ac:dyDescent="0.25">
      <c r="A42" s="18" t="s">
        <v>13</v>
      </c>
      <c r="B42">
        <v>20</v>
      </c>
      <c r="E42" s="11" t="s">
        <v>5</v>
      </c>
      <c r="F42">
        <v>8</v>
      </c>
      <c r="I42" s="14" t="s">
        <v>8</v>
      </c>
      <c r="J42">
        <v>11</v>
      </c>
    </row>
    <row r="43" spans="1:10" x14ac:dyDescent="0.25">
      <c r="A43" s="11" t="s">
        <v>5</v>
      </c>
      <c r="B43">
        <v>19</v>
      </c>
      <c r="E43" s="14" t="s">
        <v>8</v>
      </c>
      <c r="F43">
        <v>6</v>
      </c>
      <c r="I43" s="18" t="s">
        <v>13</v>
      </c>
      <c r="J43">
        <v>11</v>
      </c>
    </row>
    <row r="44" spans="1:10" x14ac:dyDescent="0.25">
      <c r="A44" s="14" t="s">
        <v>8</v>
      </c>
      <c r="B44">
        <v>17</v>
      </c>
      <c r="E44" s="15" t="s">
        <v>9</v>
      </c>
      <c r="F44">
        <v>6</v>
      </c>
      <c r="I44" s="11" t="s">
        <v>5</v>
      </c>
      <c r="J44">
        <v>11</v>
      </c>
    </row>
    <row r="48" spans="1:10" x14ac:dyDescent="0.25">
      <c r="A48" s="1" t="s">
        <v>32</v>
      </c>
    </row>
    <row r="49" spans="1:1" x14ac:dyDescent="0.25">
      <c r="A49" s="9" t="s">
        <v>3</v>
      </c>
    </row>
    <row r="50" spans="1:1" x14ac:dyDescent="0.25">
      <c r="A50" s="10" t="s">
        <v>4</v>
      </c>
    </row>
    <row r="51" spans="1:1" x14ac:dyDescent="0.25">
      <c r="A51" s="8" t="s">
        <v>2</v>
      </c>
    </row>
    <row r="52" spans="1:1" x14ac:dyDescent="0.25">
      <c r="A52" s="14" t="s">
        <v>8</v>
      </c>
    </row>
    <row r="53" spans="1:1" x14ac:dyDescent="0.25">
      <c r="A53" s="12" t="s">
        <v>6</v>
      </c>
    </row>
    <row r="54" spans="1:1" x14ac:dyDescent="0.25">
      <c r="A54" s="15" t="s">
        <v>9</v>
      </c>
    </row>
    <row r="55" spans="1:1" x14ac:dyDescent="0.25">
      <c r="A55" s="16" t="s">
        <v>10</v>
      </c>
    </row>
    <row r="56" spans="1:1" x14ac:dyDescent="0.25">
      <c r="A56" s="17" t="s">
        <v>12</v>
      </c>
    </row>
    <row r="57" spans="1:1" x14ac:dyDescent="0.25">
      <c r="A57" s="18" t="s">
        <v>13</v>
      </c>
    </row>
    <row r="58" spans="1:1" x14ac:dyDescent="0.25">
      <c r="A58" s="24" t="s">
        <v>18</v>
      </c>
    </row>
    <row r="59" spans="1:1" x14ac:dyDescent="0.25">
      <c r="A59" s="13" t="s">
        <v>7</v>
      </c>
    </row>
    <row r="60" spans="1:1" x14ac:dyDescent="0.25">
      <c r="A60" s="11" t="s">
        <v>5</v>
      </c>
    </row>
    <row r="61" spans="1:1" x14ac:dyDescent="0.25">
      <c r="A61" s="21" t="s">
        <v>17</v>
      </c>
    </row>
    <row r="62" spans="1:1" x14ac:dyDescent="0.25">
      <c r="A62" s="20" t="s">
        <v>16</v>
      </c>
    </row>
    <row r="63" spans="1:1" x14ac:dyDescent="0.25">
      <c r="A63" s="22" t="s">
        <v>14</v>
      </c>
    </row>
    <row r="64" spans="1:1" x14ac:dyDescent="0.25">
      <c r="A64" s="19" t="s">
        <v>15</v>
      </c>
    </row>
    <row r="69" spans="1:2" x14ac:dyDescent="0.25">
      <c r="A69" s="23"/>
      <c r="B69" s="23"/>
    </row>
    <row r="70" spans="1:2" x14ac:dyDescent="0.25">
      <c r="A70" s="23"/>
      <c r="B70" s="23"/>
    </row>
    <row r="71" spans="1:2" x14ac:dyDescent="0.25">
      <c r="A71" s="23"/>
      <c r="B71" s="23"/>
    </row>
    <row r="72" spans="1:2" x14ac:dyDescent="0.25">
      <c r="A72" s="23"/>
      <c r="B72" s="23"/>
    </row>
    <row r="73" spans="1:2" x14ac:dyDescent="0.25">
      <c r="A73" s="23"/>
      <c r="B73" s="23"/>
    </row>
    <row r="74" spans="1:2" x14ac:dyDescent="0.25">
      <c r="A74" s="23"/>
      <c r="B74" s="23"/>
    </row>
    <row r="75" spans="1:2" x14ac:dyDescent="0.25">
      <c r="A75" s="23"/>
      <c r="B75" s="23"/>
    </row>
    <row r="76" spans="1:2" x14ac:dyDescent="0.25">
      <c r="A76" s="23"/>
      <c r="B76" s="23"/>
    </row>
    <row r="77" spans="1:2" x14ac:dyDescent="0.25">
      <c r="A77" s="23"/>
      <c r="B77" s="23"/>
    </row>
    <row r="78" spans="1:2" x14ac:dyDescent="0.25">
      <c r="A78" s="23"/>
      <c r="B78" s="23"/>
    </row>
    <row r="79" spans="1:2" x14ac:dyDescent="0.25">
      <c r="A79" s="23"/>
      <c r="B79" s="23"/>
    </row>
    <row r="80" spans="1:2" x14ac:dyDescent="0.25">
      <c r="A80" s="23"/>
      <c r="B80" s="23"/>
    </row>
    <row r="81" spans="1:2" x14ac:dyDescent="0.25">
      <c r="A81" s="23"/>
      <c r="B81" s="23"/>
    </row>
    <row r="82" spans="1:2" x14ac:dyDescent="0.25">
      <c r="A82" s="23"/>
      <c r="B82" s="23"/>
    </row>
    <row r="83" spans="1:2" x14ac:dyDescent="0.25">
      <c r="A83" s="23"/>
      <c r="B83" s="23"/>
    </row>
    <row r="84" spans="1:2" x14ac:dyDescent="0.25">
      <c r="A84" s="23"/>
      <c r="B84" s="23"/>
    </row>
    <row r="85" spans="1:2" x14ac:dyDescent="0.25">
      <c r="A85" s="23"/>
      <c r="B85" s="23"/>
    </row>
    <row r="86" spans="1:2" x14ac:dyDescent="0.25">
      <c r="A86" s="23"/>
      <c r="B86" s="23"/>
    </row>
    <row r="87" spans="1:2" x14ac:dyDescent="0.25">
      <c r="A87" s="23"/>
      <c r="B87" s="23"/>
    </row>
    <row r="90" spans="1:2" x14ac:dyDescent="0.25">
      <c r="A90" s="1" t="s">
        <v>41</v>
      </c>
    </row>
    <row r="91" spans="1:2" x14ac:dyDescent="0.25">
      <c r="A91" s="1" t="s">
        <v>33</v>
      </c>
      <c r="B91" t="s">
        <v>22</v>
      </c>
    </row>
    <row r="92" spans="1:2" x14ac:dyDescent="0.25">
      <c r="A92" s="25" t="s">
        <v>42</v>
      </c>
      <c r="B92">
        <v>656</v>
      </c>
    </row>
    <row r="93" spans="1:2" x14ac:dyDescent="0.25">
      <c r="A93" s="8" t="s">
        <v>43</v>
      </c>
      <c r="B93">
        <v>520</v>
      </c>
    </row>
    <row r="94" spans="1:2" x14ac:dyDescent="0.25">
      <c r="A94" s="26" t="s">
        <v>45</v>
      </c>
      <c r="B94">
        <v>148</v>
      </c>
    </row>
    <row r="95" spans="1:2" x14ac:dyDescent="0.25">
      <c r="A95" s="27" t="s">
        <v>44</v>
      </c>
      <c r="B95">
        <v>122</v>
      </c>
    </row>
    <row r="96" spans="1:2" x14ac:dyDescent="0.25">
      <c r="A96" s="28" t="s">
        <v>48</v>
      </c>
      <c r="B96">
        <v>368</v>
      </c>
    </row>
    <row r="97" spans="1:2" x14ac:dyDescent="0.25">
      <c r="A97" s="10" t="s">
        <v>47</v>
      </c>
      <c r="B97">
        <v>272</v>
      </c>
    </row>
    <row r="98" spans="1:2" x14ac:dyDescent="0.25">
      <c r="A98" s="18" t="s">
        <v>46</v>
      </c>
      <c r="B98">
        <v>227</v>
      </c>
    </row>
    <row r="99" spans="1:2" x14ac:dyDescent="0.25">
      <c r="A99" s="17" t="s">
        <v>18</v>
      </c>
      <c r="B99">
        <v>562</v>
      </c>
    </row>
    <row r="102" spans="1:2" x14ac:dyDescent="0.25">
      <c r="A102" s="1" t="s">
        <v>49</v>
      </c>
      <c r="B102" t="s">
        <v>22</v>
      </c>
    </row>
    <row r="103" spans="1:2" x14ac:dyDescent="0.25">
      <c r="A103" s="25" t="s">
        <v>42</v>
      </c>
      <c r="B103">
        <v>656</v>
      </c>
    </row>
    <row r="104" spans="1:2" x14ac:dyDescent="0.25">
      <c r="A104" s="8" t="s">
        <v>43</v>
      </c>
      <c r="B104">
        <v>520</v>
      </c>
    </row>
    <row r="105" spans="1:2" x14ac:dyDescent="0.25">
      <c r="A105" s="26" t="s">
        <v>45</v>
      </c>
      <c r="B105">
        <v>148</v>
      </c>
    </row>
    <row r="106" spans="1:2" x14ac:dyDescent="0.25">
      <c r="A106" s="27" t="s">
        <v>44</v>
      </c>
      <c r="B106">
        <v>122</v>
      </c>
    </row>
    <row r="107" spans="1:2" x14ac:dyDescent="0.25">
      <c r="A107" s="28" t="s">
        <v>48</v>
      </c>
      <c r="B107">
        <v>368</v>
      </c>
    </row>
    <row r="108" spans="1:2" x14ac:dyDescent="0.25">
      <c r="A108" s="10" t="s">
        <v>47</v>
      </c>
      <c r="B108">
        <v>272</v>
      </c>
    </row>
    <row r="109" spans="1:2" x14ac:dyDescent="0.25">
      <c r="A109" s="18" t="s">
        <v>46</v>
      </c>
      <c r="B109">
        <v>227</v>
      </c>
    </row>
    <row r="135" spans="1:2" x14ac:dyDescent="0.25">
      <c r="A135" t="s">
        <v>0</v>
      </c>
      <c r="B135" s="29" t="s">
        <v>50</v>
      </c>
    </row>
    <row r="136" spans="1:2" x14ac:dyDescent="0.25">
      <c r="A136" t="s">
        <v>2</v>
      </c>
      <c r="B136" s="29">
        <v>0.94202898550724634</v>
      </c>
    </row>
    <row r="137" spans="1:2" x14ac:dyDescent="0.25">
      <c r="A137" t="s">
        <v>3</v>
      </c>
      <c r="B137" s="29">
        <v>1.1304347826086956</v>
      </c>
    </row>
    <row r="138" spans="1:2" x14ac:dyDescent="0.25">
      <c r="A138" t="s">
        <v>4</v>
      </c>
      <c r="B138" s="29">
        <v>1.2168674698795181</v>
      </c>
    </row>
    <row r="139" spans="1:2" x14ac:dyDescent="0.25">
      <c r="A139" t="s">
        <v>5</v>
      </c>
      <c r="B139" s="29">
        <v>1.375</v>
      </c>
    </row>
    <row r="140" spans="1:2" x14ac:dyDescent="0.25">
      <c r="A140" t="s">
        <v>6</v>
      </c>
      <c r="B140" s="29">
        <v>1.3333333333333333</v>
      </c>
    </row>
    <row r="141" spans="1:2" x14ac:dyDescent="0.25">
      <c r="A141" t="s">
        <v>7</v>
      </c>
      <c r="B141" s="29">
        <v>1.4666666666666666</v>
      </c>
    </row>
    <row r="142" spans="1:2" x14ac:dyDescent="0.25">
      <c r="A142" t="s">
        <v>8</v>
      </c>
      <c r="B142" s="29">
        <v>1.8333333333333333</v>
      </c>
    </row>
    <row r="143" spans="1:2" x14ac:dyDescent="0.25">
      <c r="A143" t="s">
        <v>9</v>
      </c>
      <c r="B143" s="29">
        <v>3</v>
      </c>
    </row>
    <row r="144" spans="1:2" x14ac:dyDescent="0.25">
      <c r="A144" t="s">
        <v>10</v>
      </c>
      <c r="B144" s="29">
        <v>0.75</v>
      </c>
    </row>
    <row r="145" spans="1:2" x14ac:dyDescent="0.25">
      <c r="A145" t="s">
        <v>16</v>
      </c>
      <c r="B145" s="29">
        <v>0.73076923076923073</v>
      </c>
    </row>
    <row r="146" spans="1:2" x14ac:dyDescent="0.25">
      <c r="A146" t="s">
        <v>12</v>
      </c>
      <c r="B146" s="29">
        <v>0.40170940170940173</v>
      </c>
    </row>
    <row r="147" spans="1:2" x14ac:dyDescent="0.25">
      <c r="A147" t="s">
        <v>13</v>
      </c>
      <c r="B147" s="29">
        <v>1.2222222222222223</v>
      </c>
    </row>
    <row r="148" spans="1:2" x14ac:dyDescent="0.25">
      <c r="A148" t="s">
        <v>14</v>
      </c>
      <c r="B148" s="29">
        <v>0.91881918819188191</v>
      </c>
    </row>
    <row r="149" spans="1:2" x14ac:dyDescent="0.25">
      <c r="A149" t="s">
        <v>15</v>
      </c>
      <c r="B149" s="29">
        <v>0.87692307692307692</v>
      </c>
    </row>
    <row r="150" spans="1:2" x14ac:dyDescent="0.25">
      <c r="A150" t="s">
        <v>17</v>
      </c>
      <c r="B150" s="29">
        <v>1.5517241379310345</v>
      </c>
    </row>
    <row r="151" spans="1:2" x14ac:dyDescent="0.25">
      <c r="A151" t="s">
        <v>18</v>
      </c>
      <c r="B151" s="29">
        <v>1.0143369175627239</v>
      </c>
    </row>
    <row r="153" spans="1:2" x14ac:dyDescent="0.25">
      <c r="B153" s="29"/>
    </row>
  </sheetData>
  <sortState ref="V6:W21">
    <sortCondition descending="1" ref="W6:W21"/>
  </sortState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Surgery手術數</vt:lpstr>
      <vt:lpstr>Patient病人數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2026-01-16T09:17:49Z</dcterms:modified>
</cp:coreProperties>
</file>